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d\Google Drive\ExcelDoc\"/>
    </mc:Choice>
  </mc:AlternateContent>
  <bookViews>
    <workbookView xWindow="0" yWindow="0" windowWidth="16392" windowHeight="5664" activeTab="2"/>
  </bookViews>
  <sheets>
    <sheet name="Simple ES" sheetId="1" r:id="rId1"/>
    <sheet name="Browns ES" sheetId="8" r:id="rId2"/>
    <sheet name="Double ES" sheetId="7" r:id="rId3"/>
    <sheet name="MTriple ES" sheetId="9" r:id="rId4"/>
    <sheet name="ATriple ES" sheetId="10" r:id="rId5"/>
    <sheet name="How2Use" sheetId="11" r:id="rId6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 a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C5" i="8" a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K6" i="7" a="1"/>
  <c r="K6" i="7"/>
  <c r="K7" i="7"/>
  <c r="K8" i="7"/>
  <c r="K2" i="7" a="1"/>
  <c r="K2" i="7"/>
  <c r="K3" i="7"/>
  <c r="K4" i="7" a="1"/>
  <c r="K4" i="7"/>
  <c r="K9" i="7" a="1"/>
  <c r="K9" i="7"/>
  <c r="H2" i="7" a="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F2" i="7" a="1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D77" i="10" a="1"/>
  <c r="D77" i="10"/>
  <c r="D78" i="10"/>
  <c r="D79" i="10"/>
  <c r="D80" i="10"/>
  <c r="D81" i="10"/>
  <c r="D82" i="10"/>
  <c r="D83" i="10"/>
  <c r="D84" i="10"/>
  <c r="D85" i="10"/>
  <c r="D86" i="10"/>
  <c r="D87" i="10"/>
  <c r="D88" i="10"/>
  <c r="B77" i="10" a="1"/>
  <c r="B77" i="10"/>
  <c r="B78" i="10"/>
  <c r="B79" i="10"/>
  <c r="B80" i="10"/>
  <c r="B81" i="10"/>
  <c r="B82" i="10"/>
  <c r="B83" i="10"/>
  <c r="B84" i="10"/>
  <c r="B85" i="10"/>
  <c r="B86" i="10"/>
  <c r="B87" i="10"/>
  <c r="B88" i="10"/>
  <c r="H14" i="10" a="1"/>
  <c r="H14" i="10"/>
  <c r="H10" i="10" a="1"/>
  <c r="H10" i="10"/>
  <c r="H11" i="10"/>
  <c r="H12" i="10"/>
  <c r="H13" i="10"/>
  <c r="H8" i="10" a="1"/>
  <c r="H8" i="10"/>
  <c r="H5" i="10" a="1"/>
  <c r="H5" i="10"/>
  <c r="H6" i="10"/>
  <c r="H7" i="10"/>
  <c r="E5" i="10" a="1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C5" i="10" a="1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H14" i="9" a="1"/>
  <c r="H14" i="9"/>
  <c r="H10" i="9" a="1"/>
  <c r="H10" i="9"/>
  <c r="H11" i="9"/>
  <c r="H12" i="9"/>
  <c r="H13" i="9"/>
  <c r="E5" i="9" a="1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D77" i="9" a="1"/>
  <c r="D77" i="9"/>
  <c r="D78" i="9"/>
  <c r="D79" i="9"/>
  <c r="D80" i="9"/>
  <c r="D81" i="9"/>
  <c r="D82" i="9"/>
  <c r="D83" i="9"/>
  <c r="D84" i="9"/>
  <c r="D85" i="9"/>
  <c r="D86" i="9"/>
  <c r="D87" i="9"/>
  <c r="D88" i="9"/>
  <c r="H8" i="9" a="1"/>
  <c r="H8" i="9"/>
  <c r="H5" i="9" a="1"/>
  <c r="H5" i="9"/>
  <c r="H6" i="9"/>
  <c r="H7" i="9"/>
  <c r="C5" i="9" a="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B77" i="9" a="1"/>
  <c r="B77" i="9"/>
  <c r="B78" i="9"/>
  <c r="B79" i="9"/>
  <c r="B80" i="9"/>
  <c r="B81" i="9"/>
  <c r="B82" i="9"/>
  <c r="B83" i="9"/>
  <c r="B84" i="9"/>
  <c r="B85" i="9"/>
  <c r="B86" i="9"/>
  <c r="B87" i="9"/>
  <c r="B88" i="9"/>
  <c r="F5" i="8"/>
  <c r="F6" i="8" a="1"/>
  <c r="F6" i="8"/>
  <c r="B28" i="8" a="1"/>
  <c r="B28" i="8"/>
  <c r="B29" i="8"/>
  <c r="B30" i="8"/>
  <c r="B31" i="8"/>
  <c r="B32" i="8"/>
  <c r="B33" i="8"/>
  <c r="B34" i="8"/>
  <c r="G25" i="7" a="1"/>
  <c r="G25" i="7"/>
  <c r="G26" i="7"/>
  <c r="G27" i="7"/>
  <c r="G28" i="7"/>
  <c r="G29" i="7"/>
  <c r="G30" i="7"/>
  <c r="G31" i="7"/>
  <c r="E25" i="7" a="1"/>
  <c r="E25" i="7"/>
  <c r="E26" i="7"/>
  <c r="E27" i="7"/>
  <c r="E28" i="7"/>
  <c r="E29" i="7"/>
  <c r="E30" i="7"/>
  <c r="E31" i="7"/>
  <c r="I2" i="1"/>
  <c r="I3" i="1" a="1"/>
  <c r="I3" i="1"/>
  <c r="E25" i="1" a="1"/>
  <c r="E25" i="1"/>
  <c r="E26" i="1"/>
  <c r="E27" i="1"/>
  <c r="E28" i="1"/>
  <c r="E29" i="1"/>
  <c r="E30" i="1"/>
  <c r="E31" i="1"/>
</calcChain>
</file>

<file path=xl/sharedStrings.xml><?xml version="1.0" encoding="utf-8"?>
<sst xmlns="http://schemas.openxmlformats.org/spreadsheetml/2006/main" count="68" uniqueCount="26">
  <si>
    <t>ftp://ftp.stat.duke.edu/pub/bats/DATASETS/johnson.dat</t>
  </si>
  <si>
    <t>Data</t>
  </si>
  <si>
    <t>Forecast</t>
  </si>
  <si>
    <t>Smoothing</t>
  </si>
  <si>
    <t>alpha</t>
  </si>
  <si>
    <t>sum squared error</t>
  </si>
  <si>
    <t>beta</t>
  </si>
  <si>
    <t>Forecast w Damping</t>
  </si>
  <si>
    <t>Smoothing w Damping</t>
  </si>
  <si>
    <t>damping</t>
  </si>
  <si>
    <t>gamma</t>
  </si>
  <si>
    <t>Data from:</t>
  </si>
  <si>
    <t>FORECASTING(data,period,damping,output)</t>
  </si>
  <si>
    <t>Enter as an Array Function</t>
  </si>
  <si>
    <t>Optional: Determines what to output, defaults to 0</t>
  </si>
  <si>
    <t>0:   Forecast</t>
  </si>
  <si>
    <t>1:  Smoothed Values</t>
  </si>
  <si>
    <t>2:   Sum of Squared Errors</t>
  </si>
  <si>
    <t>3:   Parameter Estimates</t>
  </si>
  <si>
    <t>Optional: Use a damped trend, defaults no</t>
  </si>
  <si>
    <t>Optional: Input the seasonal period, defaults to 0</t>
  </si>
  <si>
    <t>0:   Simple Exponential Smoothing</t>
  </si>
  <si>
    <t>-1: Browns Double Exponential Smoothing</t>
  </si>
  <si>
    <t>1:   Double Exponential Smoothing</t>
  </si>
  <si>
    <t>2+: Multiplicative Triple Exponential Smoothing</t>
  </si>
  <si>
    <t>-2-: Additive Triple Exponential 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</si>
</sst>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2" fillId="0" borderId="0" xfId="1"/>
    <xf numFmtId="0" fontId="4" fillId="0" borderId="0" xfId="0" applyFont="1"/>
    <xf numFmtId="0" fontId="3" fillId="0" borderId="0" xfId="0" applyFont="1" applyAlignment="1">
      <alignment vertical="center"/>
    </xf>
    <xf numFmtId="0" fontId="3" fillId="0" borderId="0" xfId="0" quotePrefix="1" applyFont="1" applyAlignment="1">
      <alignment vertical="center"/>
    </xf>
    <xf numFmtId="0" fontId="4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Simple Exponential</a:t>
            </a:r>
            <a:r>
              <a:rPr lang="en-US" baseline="0"/>
              <a:t> Smoothing</a:t>
            </a:r>
            <a:endParaRPr lang="en-US"/>
          </a:p>
        </c:rich>
      </c:tx>
      <c:layout>
        <c:manualLayout>
          <c:xMode val="edge"/>
          <c:yMode val="edge"/>
          <c:x val="0.40671522309711289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ES'!$D$1</c:f>
              <c:strCache>
                <c:ptCount val="1"/>
                <c:pt idx="0">
                  <c:v>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ES'!$D$2:$D$33</c:f>
              <c:numCache>
                <c:formatCode>General</c:formatCode>
                <c:ptCount val="32"/>
                <c:pt idx="0">
                  <c:v>-1.3262616898891806</c:v>
                </c:pt>
                <c:pt idx="1">
                  <c:v>-0.31920317830399975</c:v>
                </c:pt>
                <c:pt idx="2">
                  <c:v>-2.0112086175465325</c:v>
                </c:pt>
                <c:pt idx="3">
                  <c:v>1.1620605053183835</c:v>
                </c:pt>
                <c:pt idx="4">
                  <c:v>1.0418353460194356</c:v>
                </c:pt>
                <c:pt idx="5">
                  <c:v>0.21817457982775254</c:v>
                </c:pt>
                <c:pt idx="6">
                  <c:v>-0.8289765474736811</c:v>
                </c:pt>
                <c:pt idx="7">
                  <c:v>1.424861255078067</c:v>
                </c:pt>
                <c:pt idx="8">
                  <c:v>-0.68009843919494772</c:v>
                </c:pt>
                <c:pt idx="9">
                  <c:v>0.3686412528608507</c:v>
                </c:pt>
                <c:pt idx="10">
                  <c:v>0.49435351522048249</c:v>
                </c:pt>
                <c:pt idx="11">
                  <c:v>0.35684373645869744</c:v>
                </c:pt>
                <c:pt idx="12">
                  <c:v>-1.3542701849245686</c:v>
                </c:pt>
                <c:pt idx="13">
                  <c:v>0.43984025173614183</c:v>
                </c:pt>
                <c:pt idx="14">
                  <c:v>1.9582551492990534</c:v>
                </c:pt>
                <c:pt idx="15">
                  <c:v>-0.64385406053191829</c:v>
                </c:pt>
                <c:pt idx="16">
                  <c:v>-0.34038680596345122</c:v>
                </c:pt>
                <c:pt idx="17">
                  <c:v>2.0342375139071525</c:v>
                </c:pt>
                <c:pt idx="18">
                  <c:v>1.0191396617931412</c:v>
                </c:pt>
                <c:pt idx="19">
                  <c:v>0.83478327572478261</c:v>
                </c:pt>
                <c:pt idx="20">
                  <c:v>1.2883378662554135</c:v>
                </c:pt>
                <c:pt idx="21">
                  <c:v>-7.0659743383275353E-3</c:v>
                </c:pt>
                <c:pt idx="22">
                  <c:v>0.2768636086395268</c:v>
                </c:pt>
                <c:pt idx="23">
                  <c:v>0.32450519159846947</c:v>
                </c:pt>
                <c:pt idx="24">
                  <c:v>-4.3761087483960327E-2</c:v>
                </c:pt>
                <c:pt idx="25">
                  <c:v>-0.29248901465477606</c:v>
                </c:pt>
                <c:pt idx="26">
                  <c:v>-1.0766893156236272</c:v>
                </c:pt>
                <c:pt idx="27">
                  <c:v>0.3889181214016928</c:v>
                </c:pt>
                <c:pt idx="28">
                  <c:v>0.6905521461412073</c:v>
                </c:pt>
                <c:pt idx="29">
                  <c:v>0.45903747374776571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'Simple ES'!$E$1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'Simple ES'!$E$2:$E$33</c:f>
              <c:numCache>
                <c:formatCode>General</c:formatCode>
                <c:ptCount val="32"/>
                <c:pt idx="23">
                  <c:v>0.63785272851877428</c:v>
                </c:pt>
                <c:pt idx="24">
                  <c:v>0.63785272851877428</c:v>
                </c:pt>
                <c:pt idx="25">
                  <c:v>0.63785272851877428</c:v>
                </c:pt>
                <c:pt idx="26">
                  <c:v>0.63785272851877428</c:v>
                </c:pt>
                <c:pt idx="27">
                  <c:v>0.63785272851877428</c:v>
                </c:pt>
                <c:pt idx="28">
                  <c:v>0.63785272851877428</c:v>
                </c:pt>
                <c:pt idx="29">
                  <c:v>0.63785272851877428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'Simple ES'!$F$1</c:f>
              <c:strCache>
                <c:ptCount val="1"/>
                <c:pt idx="0">
                  <c:v>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'Simple ES'!$F$2:$F$33</c:f>
              <c:numCache>
                <c:formatCode>General</c:formatCode>
                <c:ptCount val="32"/>
                <c:pt idx="0">
                  <c:v>-1.3262616898891806</c:v>
                </c:pt>
                <c:pt idx="1">
                  <c:v>-1.3262616898891806</c:v>
                </c:pt>
                <c:pt idx="2">
                  <c:v>-1.0769308817188388</c:v>
                </c:pt>
                <c:pt idx="3">
                  <c:v>-1.3082423896895179</c:v>
                </c:pt>
                <c:pt idx="4">
                  <c:v>-0.69663679760892516</c:v>
                </c:pt>
                <c:pt idx="5">
                  <c:v>-0.2662202333616327</c:v>
                </c:pt>
                <c:pt idx="6">
                  <c:v>-0.14629219655280465</c:v>
                </c:pt>
                <c:pt idx="7">
                  <c:v>-0.31531339937489111</c:v>
                </c:pt>
                <c:pt idx="8">
                  <c:v>0.11552467801680388</c:v>
                </c:pt>
                <c:pt idx="9">
                  <c:v>-8.1458270373313962E-2</c:v>
                </c:pt>
                <c:pt idx="10">
                  <c:v>2.9978827465630707E-2</c:v>
                </c:pt>
                <c:pt idx="11">
                  <c:v>0.14495021677400055</c:v>
                </c:pt>
                <c:pt idx="12">
                  <c:v>0.19741150070266034</c:v>
                </c:pt>
                <c:pt idx="13">
                  <c:v>-0.18675887693664453</c:v>
                </c:pt>
                <c:pt idx="14">
                  <c:v>-3.1623435099307734E-2</c:v>
                </c:pt>
                <c:pt idx="15">
                  <c:v>0.46103715006167051</c:v>
                </c:pt>
                <c:pt idx="16">
                  <c:v>0.18748460538978592</c:v>
                </c:pt>
                <c:pt idx="17">
                  <c:v>5.6792491586437108E-2</c:v>
                </c:pt>
                <c:pt idx="18">
                  <c:v>0.54637473517580615</c:v>
                </c:pt>
                <c:pt idx="19">
                  <c:v>0.66342340699781299</c:v>
                </c:pt>
                <c:pt idx="20">
                  <c:v>0.70584923833347823</c:v>
                </c:pt>
                <c:pt idx="21">
                  <c:v>0.8500636595205886</c:v>
                </c:pt>
                <c:pt idx="22">
                  <c:v>0.63785272851877428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698072"/>
        <c:axId val="199698464"/>
      </c:lineChart>
      <c:catAx>
        <c:axId val="199698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98464"/>
        <c:crosses val="autoZero"/>
        <c:auto val="1"/>
        <c:lblAlgn val="ctr"/>
        <c:lblOffset val="100"/>
        <c:noMultiLvlLbl val="0"/>
      </c:catAx>
      <c:valAx>
        <c:axId val="19969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9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Browns</a:t>
            </a:r>
            <a:r>
              <a:rPr lang="en-US" baseline="0"/>
              <a:t> </a:t>
            </a:r>
            <a:r>
              <a:rPr lang="en-US"/>
              <a:t>Double Exponential</a:t>
            </a:r>
            <a:r>
              <a:rPr lang="en-US" baseline="0"/>
              <a:t> Smoothing</a:t>
            </a:r>
            <a:endParaRPr lang="en-US"/>
          </a:p>
        </c:rich>
      </c:tx>
      <c:layout>
        <c:manualLayout>
          <c:xMode val="edge"/>
          <c:yMode val="edge"/>
          <c:x val="0.40671522309711289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'Browns ES'!$A$4</c:f>
              <c:strCache>
                <c:ptCount val="1"/>
                <c:pt idx="0">
                  <c:v>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'Browns ES'!$A$5:$A$34</c:f>
              <c:numCache>
                <c:formatCode>General</c:formatCode>
                <c:ptCount val="30"/>
                <c:pt idx="0">
                  <c:v>6.4066711516304053E-2</c:v>
                </c:pt>
                <c:pt idx="1">
                  <c:v>0.65231841779401978</c:v>
                </c:pt>
                <c:pt idx="2">
                  <c:v>-2.2580874709178334</c:v>
                </c:pt>
                <c:pt idx="3">
                  <c:v>0.27116874657258699</c:v>
                </c:pt>
                <c:pt idx="4">
                  <c:v>0.35337243182290767</c:v>
                </c:pt>
                <c:pt idx="5">
                  <c:v>2.2489267872448542</c:v>
                </c:pt>
                <c:pt idx="6">
                  <c:v>3.2466672784814872</c:v>
                </c:pt>
                <c:pt idx="7">
                  <c:v>5.5720743717561119</c:v>
                </c:pt>
                <c:pt idx="8">
                  <c:v>3.2316849661136042</c:v>
                </c:pt>
                <c:pt idx="9">
                  <c:v>0.82283701360842321</c:v>
                </c:pt>
                <c:pt idx="10">
                  <c:v>2.0846745509049418</c:v>
                </c:pt>
                <c:pt idx="11">
                  <c:v>3.2773442385969185</c:v>
                </c:pt>
                <c:pt idx="12">
                  <c:v>3.2783565120714582</c:v>
                </c:pt>
                <c:pt idx="13">
                  <c:v>4.0275804848332388</c:v>
                </c:pt>
                <c:pt idx="14">
                  <c:v>5.3121934330372618</c:v>
                </c:pt>
                <c:pt idx="15">
                  <c:v>1.7025984057464256</c:v>
                </c:pt>
                <c:pt idx="16">
                  <c:v>3.6035590631383663</c:v>
                </c:pt>
                <c:pt idx="17">
                  <c:v>5.1906367430811597</c:v>
                </c:pt>
                <c:pt idx="18">
                  <c:v>5.4119927185523125</c:v>
                </c:pt>
                <c:pt idx="19">
                  <c:v>4.8067556539938927</c:v>
                </c:pt>
                <c:pt idx="20">
                  <c:v>3.1389231791138248</c:v>
                </c:pt>
                <c:pt idx="21">
                  <c:v>5.0226479241670781</c:v>
                </c:pt>
                <c:pt idx="22">
                  <c:v>3.6867848680985369</c:v>
                </c:pt>
                <c:pt idx="23">
                  <c:v>7.4922197695981865</c:v>
                </c:pt>
                <c:pt idx="24">
                  <c:v>6.618393728339349</c:v>
                </c:pt>
                <c:pt idx="25">
                  <c:v>8.5686579586822713</c:v>
                </c:pt>
                <c:pt idx="26">
                  <c:v>4.1819492225695338</c:v>
                </c:pt>
                <c:pt idx="27">
                  <c:v>9.5501600336995462</c:v>
                </c:pt>
                <c:pt idx="28">
                  <c:v>11.557736636595884</c:v>
                </c:pt>
                <c:pt idx="29">
                  <c:v>5.5752720404477039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'Browns ES'!$B$4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'Browns ES'!$B$5:$B$34</c:f>
              <c:numCache>
                <c:formatCode>General</c:formatCode>
                <c:ptCount val="30"/>
                <c:pt idx="23">
                  <c:v>4.0774175306724247</c:v>
                </c:pt>
                <c:pt idx="24">
                  <c:v>4.0500771570242877</c:v>
                </c:pt>
                <c:pt idx="25">
                  <c:v>4.0227367833761516</c:v>
                </c:pt>
                <c:pt idx="26">
                  <c:v>3.9953964097280146</c:v>
                </c:pt>
                <c:pt idx="27">
                  <c:v>3.968056036079878</c:v>
                </c:pt>
                <c:pt idx="28">
                  <c:v>3.9407156624317414</c:v>
                </c:pt>
                <c:pt idx="29">
                  <c:v>3.9133752887836049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'Browns ES'!$C$4</c:f>
              <c:strCache>
                <c:ptCount val="1"/>
                <c:pt idx="0">
                  <c:v>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'Browns ES'!$C$5:$C$34</c:f>
              <c:numCache>
                <c:formatCode>General</c:formatCode>
                <c:ptCount val="30"/>
                <c:pt idx="0">
                  <c:v>6.4066711516304053E-2</c:v>
                </c:pt>
                <c:pt idx="1">
                  <c:v>0.32192113158525137</c:v>
                </c:pt>
                <c:pt idx="2">
                  <c:v>-0.82383207848155948</c:v>
                </c:pt>
                <c:pt idx="3">
                  <c:v>-0.28530096421140966</c:v>
                </c:pt>
                <c:pt idx="4">
                  <c:v>-7.2887766432249423E-3</c:v>
                </c:pt>
                <c:pt idx="5">
                  <c:v>0.96474644053775083</c:v>
                </c:pt>
                <c:pt idx="6">
                  <c:v>1.90068658905193</c:v>
                </c:pt>
                <c:pt idx="7">
                  <c:v>3.4242769788348375</c:v>
                </c:pt>
                <c:pt idx="8">
                  <c:v>3.2097124673585196</c:v>
                </c:pt>
                <c:pt idx="9">
                  <c:v>2.1112573826768908</c:v>
                </c:pt>
                <c:pt idx="10">
                  <c:v>2.1369074043849237</c:v>
                </c:pt>
                <c:pt idx="11">
                  <c:v>2.6538281611691446</c:v>
                </c:pt>
                <c:pt idx="12">
                  <c:v>2.9062915688180455</c:v>
                </c:pt>
                <c:pt idx="13">
                  <c:v>3.3727181544145211</c:v>
                </c:pt>
                <c:pt idx="14">
                  <c:v>4.1836040395714633</c:v>
                </c:pt>
                <c:pt idx="15">
                  <c:v>3.0299685054455416</c:v>
                </c:pt>
                <c:pt idx="16">
                  <c:v>3.3149705584338807</c:v>
                </c:pt>
                <c:pt idx="17">
                  <c:v>4.1374056765349385</c:v>
                </c:pt>
                <c:pt idx="18">
                  <c:v>4.6489294266213594</c:v>
                </c:pt>
                <c:pt idx="19">
                  <c:v>4.6652945406868334</c:v>
                </c:pt>
                <c:pt idx="20">
                  <c:v>3.9690936437205098</c:v>
                </c:pt>
                <c:pt idx="21">
                  <c:v>4.4575005689320424</c:v>
                </c:pt>
                <c:pt idx="22">
                  <c:v>4.1047579043205609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99248"/>
        <c:axId val="199699640"/>
      </c:lineChart>
      <c:catAx>
        <c:axId val="199699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99640"/>
        <c:crosses val="autoZero"/>
        <c:auto val="1"/>
        <c:lblAlgn val="ctr"/>
        <c:lblOffset val="100"/>
        <c:noMultiLvlLbl val="0"/>
      </c:catAx>
      <c:valAx>
        <c:axId val="199699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9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Double Exponential</a:t>
            </a:r>
            <a:r>
              <a:rPr lang="en-US" baseline="0"/>
              <a:t> Smoothing</a:t>
            </a:r>
            <a:endParaRPr lang="en-US"/>
          </a:p>
        </c:rich>
      </c:tx>
      <c:layout>
        <c:manualLayout>
          <c:xMode val="edge"/>
          <c:yMode val="edge"/>
          <c:x val="0.40671522309711289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'Double ES'!$D$1</c:f>
              <c:strCache>
                <c:ptCount val="1"/>
                <c:pt idx="0">
                  <c:v>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'Double ES'!$D$2:$D$31</c:f>
              <c:numCache>
                <c:formatCode>General</c:formatCode>
                <c:ptCount val="30"/>
                <c:pt idx="0">
                  <c:v>6.4066711516304053E-2</c:v>
                </c:pt>
                <c:pt idx="1">
                  <c:v>0.65231841779401978</c:v>
                </c:pt>
                <c:pt idx="2">
                  <c:v>-2.2580874709178334</c:v>
                </c:pt>
                <c:pt idx="3">
                  <c:v>0.27116874657258699</c:v>
                </c:pt>
                <c:pt idx="4">
                  <c:v>0.35337243182290767</c:v>
                </c:pt>
                <c:pt idx="5">
                  <c:v>2.2489267872448542</c:v>
                </c:pt>
                <c:pt idx="6">
                  <c:v>3.2466672784814872</c:v>
                </c:pt>
                <c:pt idx="7">
                  <c:v>5.5720743717561119</c:v>
                </c:pt>
                <c:pt idx="8">
                  <c:v>3.2316849661136042</c:v>
                </c:pt>
                <c:pt idx="9">
                  <c:v>0.82283701360842321</c:v>
                </c:pt>
                <c:pt idx="10">
                  <c:v>2.0846745509049418</c:v>
                </c:pt>
                <c:pt idx="11">
                  <c:v>3.2773442385969185</c:v>
                </c:pt>
                <c:pt idx="12">
                  <c:v>3.2783565120714582</c:v>
                </c:pt>
                <c:pt idx="13">
                  <c:v>4.0275804848332388</c:v>
                </c:pt>
                <c:pt idx="14">
                  <c:v>5.3121934330372618</c:v>
                </c:pt>
                <c:pt idx="15">
                  <c:v>1.7025984057464256</c:v>
                </c:pt>
                <c:pt idx="16">
                  <c:v>3.6035590631383663</c:v>
                </c:pt>
                <c:pt idx="17">
                  <c:v>5.1906367430811597</c:v>
                </c:pt>
                <c:pt idx="18">
                  <c:v>5.4119927185523125</c:v>
                </c:pt>
                <c:pt idx="19">
                  <c:v>4.8067556539938927</c:v>
                </c:pt>
                <c:pt idx="20">
                  <c:v>3.1389231791138248</c:v>
                </c:pt>
                <c:pt idx="21">
                  <c:v>5.0226479241670781</c:v>
                </c:pt>
                <c:pt idx="22">
                  <c:v>3.6867848680985369</c:v>
                </c:pt>
                <c:pt idx="23">
                  <c:v>7.4922197695981865</c:v>
                </c:pt>
                <c:pt idx="24">
                  <c:v>6.618393728339349</c:v>
                </c:pt>
                <c:pt idx="25">
                  <c:v>8.5686579586822713</c:v>
                </c:pt>
                <c:pt idx="26">
                  <c:v>4.1819492225695338</c:v>
                </c:pt>
                <c:pt idx="27">
                  <c:v>9.5501600336995462</c:v>
                </c:pt>
                <c:pt idx="28">
                  <c:v>11.557736636595884</c:v>
                </c:pt>
                <c:pt idx="29">
                  <c:v>5.5752720404477039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'Double ES'!$E$1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'Double ES'!$E$2:$E$31</c:f>
              <c:numCache>
                <c:formatCode>General</c:formatCode>
                <c:ptCount val="30"/>
                <c:pt idx="23">
                  <c:v>4.5243426934876192</c:v>
                </c:pt>
                <c:pt idx="24">
                  <c:v>4.491907779547307</c:v>
                </c:pt>
                <c:pt idx="25">
                  <c:v>4.4594728656069949</c:v>
                </c:pt>
                <c:pt idx="26">
                  <c:v>4.4270379516666827</c:v>
                </c:pt>
                <c:pt idx="27">
                  <c:v>4.3946030377263705</c:v>
                </c:pt>
                <c:pt idx="28">
                  <c:v>4.3621681237860583</c:v>
                </c:pt>
                <c:pt idx="29">
                  <c:v>4.3297332098457462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'Double ES'!$F$1</c:f>
              <c:strCache>
                <c:ptCount val="1"/>
                <c:pt idx="0">
                  <c:v>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'Double ES'!$F$2:$F$31</c:f>
              <c:numCache>
                <c:formatCode>General</c:formatCode>
                <c:ptCount val="30"/>
                <c:pt idx="0">
                  <c:v>6.4066711516304053E-2</c:v>
                </c:pt>
                <c:pt idx="1">
                  <c:v>0.65231841779401978</c:v>
                </c:pt>
                <c:pt idx="2">
                  <c:v>1.0409839072866807</c:v>
                </c:pt>
                <c:pt idx="3">
                  <c:v>1.3635621151883985</c:v>
                </c:pt>
                <c:pt idx="4">
                  <c:v>1.6101105619959317</c:v>
                </c:pt>
                <c:pt idx="5">
                  <c:v>1.8790365178735666</c:v>
                </c:pt>
                <c:pt idx="6">
                  <c:v>2.2106397519149956</c:v>
                </c:pt>
                <c:pt idx="7">
                  <c:v>2.7150843021487034</c:v>
                </c:pt>
                <c:pt idx="8">
                  <c:v>3.2202223161557448</c:v>
                </c:pt>
                <c:pt idx="9">
                  <c:v>3.5597814953797156</c:v>
                </c:pt>
                <c:pt idx="10">
                  <c:v>3.7958202996913903</c:v>
                </c:pt>
                <c:pt idx="11">
                  <c:v>3.9888166618278591</c:v>
                </c:pt>
                <c:pt idx="12">
                  <c:v>4.1302739801367911</c:v>
                </c:pt>
                <c:pt idx="13">
                  <c:v>4.2578033458651063</c:v>
                </c:pt>
                <c:pt idx="14">
                  <c:v>4.4382068840134581</c:v>
                </c:pt>
                <c:pt idx="15">
                  <c:v>4.4522621040445527</c:v>
                </c:pt>
                <c:pt idx="16">
                  <c:v>4.4170999736521166</c:v>
                </c:pt>
                <c:pt idx="17">
                  <c:v>4.4280712957855135</c:v>
                </c:pt>
                <c:pt idx="18">
                  <c:v>4.4945460286737218</c:v>
                </c:pt>
                <c:pt idx="19">
                  <c:v>4.5750390803129131</c:v>
                </c:pt>
                <c:pt idx="20">
                  <c:v>4.5690148792465042</c:v>
                </c:pt>
                <c:pt idx="21">
                  <c:v>4.5892125214100563</c:v>
                </c:pt>
                <c:pt idx="22">
                  <c:v>4.5567776074279314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'Double ES'!$G$1</c:f>
              <c:strCache>
                <c:ptCount val="1"/>
                <c:pt idx="0">
                  <c:v>Forecast w Damping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'Double ES'!$G$2:$G$31</c:f>
              <c:numCache>
                <c:formatCode>General</c:formatCode>
                <c:ptCount val="30"/>
                <c:pt idx="23">
                  <c:v>4.551371404424124</c:v>
                </c:pt>
                <c:pt idx="24">
                  <c:v>4.5887820924071869</c:v>
                </c:pt>
                <c:pt idx="25">
                  <c:v>4.6221553285308952</c:v>
                </c:pt>
                <c:pt idx="26">
                  <c:v>4.6519268443574173</c:v>
                </c:pt>
                <c:pt idx="27">
                  <c:v>4.6784853462456759</c:v>
                </c:pt>
                <c:pt idx="28">
                  <c:v>4.7021775904249363</c:v>
                </c:pt>
                <c:pt idx="29">
                  <c:v>4.7233129103541769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'Double ES'!$H$1</c:f>
              <c:strCache>
                <c:ptCount val="1"/>
                <c:pt idx="0">
                  <c:v>Smoothing w Damping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'Double ES'!$H$2:$H$31</c:f>
              <c:numCache>
                <c:formatCode>General</c:formatCode>
                <c:ptCount val="30"/>
                <c:pt idx="0">
                  <c:v>6.4066711516304053E-2</c:v>
                </c:pt>
                <c:pt idx="1">
                  <c:v>0.58886305791170512</c:v>
                </c:pt>
                <c:pt idx="2">
                  <c:v>1.0554458560105278</c:v>
                </c:pt>
                <c:pt idx="3">
                  <c:v>1.4711030983556599</c:v>
                </c:pt>
                <c:pt idx="4">
                  <c:v>1.8411938452117647</c:v>
                </c:pt>
                <c:pt idx="5">
                  <c:v>2.171380393315995</c:v>
                </c:pt>
                <c:pt idx="6">
                  <c:v>2.46630363262762</c:v>
                </c:pt>
                <c:pt idx="7">
                  <c:v>2.7307496703523224</c:v>
                </c:pt>
                <c:pt idx="8">
                  <c:v>2.9667820677335537</c:v>
                </c:pt>
                <c:pt idx="9">
                  <c:v>3.1762217657820653</c:v>
                </c:pt>
                <c:pt idx="10">
                  <c:v>3.362450383445692</c:v>
                </c:pt>
                <c:pt idx="11">
                  <c:v>3.5284613014416157</c:v>
                </c:pt>
                <c:pt idx="12">
                  <c:v>3.6763665853090255</c:v>
                </c:pt>
                <c:pt idx="13">
                  <c:v>3.8084138317622536</c:v>
                </c:pt>
                <c:pt idx="14">
                  <c:v>3.9268692233651525</c:v>
                </c:pt>
                <c:pt idx="15">
                  <c:v>4.0314327889412125</c:v>
                </c:pt>
                <c:pt idx="16">
                  <c:v>4.1244638057814358</c:v>
                </c:pt>
                <c:pt idx="17">
                  <c:v>4.207922170884542</c:v>
                </c:pt>
                <c:pt idx="18">
                  <c:v>4.2829106154584755</c:v>
                </c:pt>
                <c:pt idx="19">
                  <c:v>4.3500233948472768</c:v>
                </c:pt>
                <c:pt idx="20">
                  <c:v>4.4092888839025361</c:v>
                </c:pt>
                <c:pt idx="21">
                  <c:v>4.4624247980636857</c:v>
                </c:pt>
                <c:pt idx="22">
                  <c:v>4.5094348187667386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956176"/>
        <c:axId val="203956568"/>
      </c:lineChart>
      <c:catAx>
        <c:axId val="203956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56568"/>
        <c:crosses val="autoZero"/>
        <c:auto val="1"/>
        <c:lblAlgn val="ctr"/>
        <c:lblOffset val="100"/>
        <c:noMultiLvlLbl val="0"/>
      </c:catAx>
      <c:valAx>
        <c:axId val="203956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5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Multiplicative Triple Exponential</a:t>
            </a:r>
            <a:r>
              <a:rPr lang="en-US" baseline="0"/>
              <a:t> Smoothing</a:t>
            </a:r>
            <a:endParaRPr lang="en-US"/>
          </a:p>
        </c:rich>
      </c:tx>
      <c:layout>
        <c:manualLayout>
          <c:xMode val="edge"/>
          <c:yMode val="edge"/>
          <c:x val="0.40949300087489071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'MTriple ES'!$A$4</c:f>
              <c:strCache>
                <c:ptCount val="1"/>
                <c:pt idx="0">
                  <c:v>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'MTriple ES'!$A$5:$A$88</c:f>
              <c:numCache>
                <c:formatCode>General</c:formatCode>
                <c:ptCount val="84"/>
                <c:pt idx="0">
                  <c:v>0.71</c:v>
                </c:pt>
                <c:pt idx="1">
                  <c:v>0.63</c:v>
                </c:pt>
                <c:pt idx="2">
                  <c:v>0.85</c:v>
                </c:pt>
                <c:pt idx="3">
                  <c:v>0.44</c:v>
                </c:pt>
                <c:pt idx="4">
                  <c:v>0.61</c:v>
                </c:pt>
                <c:pt idx="5">
                  <c:v>0.69</c:v>
                </c:pt>
                <c:pt idx="6">
                  <c:v>0.92</c:v>
                </c:pt>
                <c:pt idx="7">
                  <c:v>0.55000000000000004</c:v>
                </c:pt>
                <c:pt idx="8">
                  <c:v>0.72</c:v>
                </c:pt>
                <c:pt idx="9">
                  <c:v>0.77</c:v>
                </c:pt>
                <c:pt idx="10">
                  <c:v>0.92</c:v>
                </c:pt>
                <c:pt idx="11">
                  <c:v>0.6</c:v>
                </c:pt>
                <c:pt idx="12">
                  <c:v>0.83</c:v>
                </c:pt>
                <c:pt idx="13">
                  <c:v>0.8</c:v>
                </c:pt>
                <c:pt idx="14">
                  <c:v>1</c:v>
                </c:pt>
                <c:pt idx="15">
                  <c:v>0.77</c:v>
                </c:pt>
                <c:pt idx="16">
                  <c:v>0.92</c:v>
                </c:pt>
                <c:pt idx="17">
                  <c:v>1</c:v>
                </c:pt>
                <c:pt idx="18">
                  <c:v>1.24</c:v>
                </c:pt>
                <c:pt idx="19">
                  <c:v>1</c:v>
                </c:pt>
                <c:pt idx="20">
                  <c:v>1.1599999999999999</c:v>
                </c:pt>
                <c:pt idx="21">
                  <c:v>1.3</c:v>
                </c:pt>
                <c:pt idx="22">
                  <c:v>1.45</c:v>
                </c:pt>
                <c:pt idx="23">
                  <c:v>1.25</c:v>
                </c:pt>
                <c:pt idx="24">
                  <c:v>1.26</c:v>
                </c:pt>
                <c:pt idx="25">
                  <c:v>1.38</c:v>
                </c:pt>
                <c:pt idx="26">
                  <c:v>1.86</c:v>
                </c:pt>
                <c:pt idx="27">
                  <c:v>1.56</c:v>
                </c:pt>
                <c:pt idx="28">
                  <c:v>1.53</c:v>
                </c:pt>
                <c:pt idx="29">
                  <c:v>1.59</c:v>
                </c:pt>
                <c:pt idx="30">
                  <c:v>1.83</c:v>
                </c:pt>
                <c:pt idx="31">
                  <c:v>1.86</c:v>
                </c:pt>
                <c:pt idx="32">
                  <c:v>1.53</c:v>
                </c:pt>
                <c:pt idx="33">
                  <c:v>2.0699999999999998</c:v>
                </c:pt>
                <c:pt idx="34">
                  <c:v>2.34</c:v>
                </c:pt>
                <c:pt idx="35">
                  <c:v>2.25</c:v>
                </c:pt>
                <c:pt idx="36">
                  <c:v>2.16</c:v>
                </c:pt>
                <c:pt idx="37">
                  <c:v>2.4300000000000002</c:v>
                </c:pt>
                <c:pt idx="38">
                  <c:v>2.7</c:v>
                </c:pt>
                <c:pt idx="39">
                  <c:v>2.25</c:v>
                </c:pt>
                <c:pt idx="40">
                  <c:v>2.79</c:v>
                </c:pt>
                <c:pt idx="41">
                  <c:v>3.42</c:v>
                </c:pt>
                <c:pt idx="42">
                  <c:v>3.69</c:v>
                </c:pt>
                <c:pt idx="43">
                  <c:v>3.6</c:v>
                </c:pt>
                <c:pt idx="44">
                  <c:v>3.6</c:v>
                </c:pt>
                <c:pt idx="45">
                  <c:v>4.32</c:v>
                </c:pt>
                <c:pt idx="46">
                  <c:v>4.32</c:v>
                </c:pt>
                <c:pt idx="47">
                  <c:v>4.05</c:v>
                </c:pt>
                <c:pt idx="48">
                  <c:v>4.8600000000000003</c:v>
                </c:pt>
                <c:pt idx="49">
                  <c:v>5.04</c:v>
                </c:pt>
                <c:pt idx="50">
                  <c:v>5.04</c:v>
                </c:pt>
                <c:pt idx="51">
                  <c:v>4.41</c:v>
                </c:pt>
                <c:pt idx="52">
                  <c:v>5.58</c:v>
                </c:pt>
                <c:pt idx="53">
                  <c:v>5.85</c:v>
                </c:pt>
                <c:pt idx="54">
                  <c:v>6.57</c:v>
                </c:pt>
                <c:pt idx="55">
                  <c:v>5.31</c:v>
                </c:pt>
                <c:pt idx="56">
                  <c:v>6.03</c:v>
                </c:pt>
                <c:pt idx="57">
                  <c:v>6.39</c:v>
                </c:pt>
                <c:pt idx="58">
                  <c:v>6.93</c:v>
                </c:pt>
                <c:pt idx="59">
                  <c:v>5.85</c:v>
                </c:pt>
                <c:pt idx="60">
                  <c:v>6.93</c:v>
                </c:pt>
                <c:pt idx="61">
                  <c:v>7.74</c:v>
                </c:pt>
                <c:pt idx="62">
                  <c:v>7.83</c:v>
                </c:pt>
                <c:pt idx="63">
                  <c:v>6.12</c:v>
                </c:pt>
                <c:pt idx="64">
                  <c:v>7.74</c:v>
                </c:pt>
                <c:pt idx="65">
                  <c:v>8.91</c:v>
                </c:pt>
                <c:pt idx="66">
                  <c:v>8.2799999999999994</c:v>
                </c:pt>
                <c:pt idx="67">
                  <c:v>6.84</c:v>
                </c:pt>
                <c:pt idx="68">
                  <c:v>9.5399999999999991</c:v>
                </c:pt>
                <c:pt idx="69">
                  <c:v>10.26</c:v>
                </c:pt>
                <c:pt idx="70">
                  <c:v>9.5399999999999991</c:v>
                </c:pt>
                <c:pt idx="71">
                  <c:v>8.73</c:v>
                </c:pt>
                <c:pt idx="72">
                  <c:v>11.88</c:v>
                </c:pt>
                <c:pt idx="73">
                  <c:v>12.06</c:v>
                </c:pt>
                <c:pt idx="74">
                  <c:v>12.15</c:v>
                </c:pt>
                <c:pt idx="75">
                  <c:v>8.91</c:v>
                </c:pt>
                <c:pt idx="76">
                  <c:v>14.04</c:v>
                </c:pt>
                <c:pt idx="77">
                  <c:v>12.96</c:v>
                </c:pt>
                <c:pt idx="78">
                  <c:v>14.85</c:v>
                </c:pt>
                <c:pt idx="79">
                  <c:v>9.99</c:v>
                </c:pt>
                <c:pt idx="80">
                  <c:v>16.2</c:v>
                </c:pt>
                <c:pt idx="81">
                  <c:v>14.67</c:v>
                </c:pt>
                <c:pt idx="82">
                  <c:v>16.02</c:v>
                </c:pt>
                <c:pt idx="83">
                  <c:v>11.61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'MTriple ES'!$B$4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'MTriple ES'!$B$5:$B$88</c:f>
              <c:numCache>
                <c:formatCode>General</c:formatCode>
                <c:ptCount val="84"/>
                <c:pt idx="72">
                  <c:v>11.216054581060202</c:v>
                </c:pt>
                <c:pt idx="73">
                  <c:v>12.120313171997969</c:v>
                </c:pt>
                <c:pt idx="74">
                  <c:v>11.613450702569487</c:v>
                </c:pt>
                <c:pt idx="75">
                  <c:v>10.215408369782176</c:v>
                </c:pt>
                <c:pt idx="76">
                  <c:v>13.161025055681044</c:v>
                </c:pt>
                <c:pt idx="77">
                  <c:v>14.134759640104027</c:v>
                </c:pt>
                <c:pt idx="78">
                  <c:v>13.466652075462232</c:v>
                </c:pt>
                <c:pt idx="79">
                  <c:v>11.782983021586867</c:v>
                </c:pt>
                <c:pt idx="80">
                  <c:v>15.105995530301884</c:v>
                </c:pt>
                <c:pt idx="81">
                  <c:v>16.149206108210088</c:v>
                </c:pt>
                <c:pt idx="82">
                  <c:v>15.31985344835498</c:v>
                </c:pt>
                <c:pt idx="83">
                  <c:v>13.350557673391556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'MTriple ES'!$C$4</c:f>
              <c:strCache>
                <c:ptCount val="1"/>
                <c:pt idx="0">
                  <c:v>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'MTriple ES'!$C$5:$C$88</c:f>
              <c:numCache>
                <c:formatCode>General</c:formatCode>
                <c:ptCount val="84"/>
                <c:pt idx="0">
                  <c:v>0.60769436664723964</c:v>
                </c:pt>
                <c:pt idx="1">
                  <c:v>0.66402599540300178</c:v>
                </c:pt>
                <c:pt idx="2">
                  <c:v>0.74797267354658292</c:v>
                </c:pt>
                <c:pt idx="3">
                  <c:v>0.61030696440317589</c:v>
                </c:pt>
                <c:pt idx="4">
                  <c:v>0.69471743572711153</c:v>
                </c:pt>
                <c:pt idx="5">
                  <c:v>0.80754149873345027</c:v>
                </c:pt>
                <c:pt idx="6">
                  <c:v>1.0181720017113665</c:v>
                </c:pt>
                <c:pt idx="7">
                  <c:v>0.64760608128463615</c:v>
                </c:pt>
                <c:pt idx="8">
                  <c:v>0.71309749206888318</c:v>
                </c:pt>
                <c:pt idx="9">
                  <c:v>0.7650104691658256</c:v>
                </c:pt>
                <c:pt idx="10">
                  <c:v>0.92448547761293776</c:v>
                </c:pt>
                <c:pt idx="11">
                  <c:v>0.61626063287109856</c:v>
                </c:pt>
                <c:pt idx="12">
                  <c:v>0.80698238583580828</c:v>
                </c:pt>
                <c:pt idx="13">
                  <c:v>0.8003838073361782</c:v>
                </c:pt>
                <c:pt idx="14">
                  <c:v>0.99738046348924225</c:v>
                </c:pt>
                <c:pt idx="15">
                  <c:v>0.76139659694869843</c:v>
                </c:pt>
                <c:pt idx="16">
                  <c:v>0.92350149567626838</c:v>
                </c:pt>
                <c:pt idx="17">
                  <c:v>0.98949134791749438</c:v>
                </c:pt>
                <c:pt idx="18">
                  <c:v>1.2371721864108389</c:v>
                </c:pt>
                <c:pt idx="19">
                  <c:v>0.98843486802067171</c:v>
                </c:pt>
                <c:pt idx="20">
                  <c:v>1.1668109554141961</c:v>
                </c:pt>
                <c:pt idx="21">
                  <c:v>1.2915095857204535</c:v>
                </c:pt>
                <c:pt idx="22">
                  <c:v>1.4730823536411219</c:v>
                </c:pt>
                <c:pt idx="23">
                  <c:v>1.2358670638302518</c:v>
                </c:pt>
                <c:pt idx="24">
                  <c:v>1.2867090487615027</c:v>
                </c:pt>
                <c:pt idx="25">
                  <c:v>1.3869249257768548</c:v>
                </c:pt>
                <c:pt idx="26">
                  <c:v>1.8184072845498545</c:v>
                </c:pt>
                <c:pt idx="27">
                  <c:v>1.5362367930763654</c:v>
                </c:pt>
                <c:pt idx="28">
                  <c:v>1.5502100637052298</c:v>
                </c:pt>
                <c:pt idx="29">
                  <c:v>1.6220340936409514</c:v>
                </c:pt>
                <c:pt idx="30">
                  <c:v>1.8704719560975676</c:v>
                </c:pt>
                <c:pt idx="31">
                  <c:v>1.801679765037318</c:v>
                </c:pt>
                <c:pt idx="32">
                  <c:v>1.5575884684588377</c:v>
                </c:pt>
                <c:pt idx="33">
                  <c:v>2.0169676316398433</c:v>
                </c:pt>
                <c:pt idx="34">
                  <c:v>2.3488869332198652</c:v>
                </c:pt>
                <c:pt idx="35">
                  <c:v>2.2374890926584858</c:v>
                </c:pt>
                <c:pt idx="36">
                  <c:v>2.1382377967240624</c:v>
                </c:pt>
                <c:pt idx="37">
                  <c:v>2.457174679350512</c:v>
                </c:pt>
                <c:pt idx="38">
                  <c:v>2.7387002489882457</c:v>
                </c:pt>
                <c:pt idx="39">
                  <c:v>2.3057352099299329</c:v>
                </c:pt>
                <c:pt idx="40">
                  <c:v>2.684200285463135</c:v>
                </c:pt>
                <c:pt idx="41">
                  <c:v>3.3314178093237943</c:v>
                </c:pt>
                <c:pt idx="42">
                  <c:v>3.703172572868922</c:v>
                </c:pt>
                <c:pt idx="43">
                  <c:v>3.5873327948829337</c:v>
                </c:pt>
                <c:pt idx="44">
                  <c:v>3.6524992298046852</c:v>
                </c:pt>
                <c:pt idx="45">
                  <c:v>4.315454643985599</c:v>
                </c:pt>
                <c:pt idx="46">
                  <c:v>4.3758960947013437</c:v>
                </c:pt>
                <c:pt idx="47">
                  <c:v>4.064972603405681</c:v>
                </c:pt>
                <c:pt idx="48">
                  <c:v>4.744737647427697</c:v>
                </c:pt>
                <c:pt idx="49">
                  <c:v>5.0834899850332551</c:v>
                </c:pt>
                <c:pt idx="50">
                  <c:v>5.101042699016423</c:v>
                </c:pt>
                <c:pt idx="51">
                  <c:v>4.4896098223234979</c:v>
                </c:pt>
                <c:pt idx="52">
                  <c:v>5.4782477743843483</c:v>
                </c:pt>
                <c:pt idx="53">
                  <c:v>5.8092499814678256</c:v>
                </c:pt>
                <c:pt idx="54">
                  <c:v>6.4612724847194798</c:v>
                </c:pt>
                <c:pt idx="55">
                  <c:v>5.4073534537896997</c:v>
                </c:pt>
                <c:pt idx="56">
                  <c:v>6.1370039651635162</c:v>
                </c:pt>
                <c:pt idx="57">
                  <c:v>6.4089769552874305</c:v>
                </c:pt>
                <c:pt idx="58">
                  <c:v>6.8775730422195913</c:v>
                </c:pt>
                <c:pt idx="59">
                  <c:v>5.8249492404520318</c:v>
                </c:pt>
                <c:pt idx="60">
                  <c:v>6.9062246623662897</c:v>
                </c:pt>
                <c:pt idx="61">
                  <c:v>7.6738035602055428</c:v>
                </c:pt>
                <c:pt idx="62">
                  <c:v>7.8787801380644149</c:v>
                </c:pt>
                <c:pt idx="63">
                  <c:v>6.2222571544582124</c:v>
                </c:pt>
                <c:pt idx="64">
                  <c:v>7.6946483605326277</c:v>
                </c:pt>
                <c:pt idx="65">
                  <c:v>8.7823140246896418</c:v>
                </c:pt>
                <c:pt idx="66">
                  <c:v>8.3693995636959961</c:v>
                </c:pt>
                <c:pt idx="67">
                  <c:v>6.8694288351415951</c:v>
                </c:pt>
                <c:pt idx="68">
                  <c:v>9.3714867583433978</c:v>
                </c:pt>
                <c:pt idx="69">
                  <c:v>10.224651870826623</c:v>
                </c:pt>
                <c:pt idx="70">
                  <c:v>9.6174659618939486</c:v>
                </c:pt>
                <c:pt idx="71">
                  <c:v>8.6478337179774876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'MTriple ES'!$D$4</c:f>
              <c:strCache>
                <c:ptCount val="1"/>
                <c:pt idx="0">
                  <c:v>Forecast w Damping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'MTriple ES'!$D$5:$D$88</c:f>
              <c:numCache>
                <c:formatCode>General</c:formatCode>
                <c:ptCount val="84"/>
                <c:pt idx="72">
                  <c:v>11.219309629688711</c:v>
                </c:pt>
                <c:pt idx="73">
                  <c:v>12.105337223119593</c:v>
                </c:pt>
                <c:pt idx="74">
                  <c:v>11.545233655285328</c:v>
                </c:pt>
                <c:pt idx="75">
                  <c:v>10.161860800522771</c:v>
                </c:pt>
                <c:pt idx="76">
                  <c:v>13.083355173874546</c:v>
                </c:pt>
                <c:pt idx="77">
                  <c:v>14.036383865418623</c:v>
                </c:pt>
                <c:pt idx="78">
                  <c:v>13.31630209783415</c:v>
                </c:pt>
                <c:pt idx="79">
                  <c:v>11.663141233582014</c:v>
                </c:pt>
                <c:pt idx="80">
                  <c:v>14.94740071805996</c:v>
                </c:pt>
                <c:pt idx="81">
                  <c:v>15.967430507717213</c:v>
                </c:pt>
                <c:pt idx="82">
                  <c:v>15.087370540382574</c:v>
                </c:pt>
                <c:pt idx="83">
                  <c:v>13.164421666640916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'MTriple ES'!$E$4</c:f>
              <c:strCache>
                <c:ptCount val="1"/>
                <c:pt idx="0">
                  <c:v>Smoothing w Damping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'MTriple ES'!$E$5:$E$88</c:f>
              <c:numCache>
                <c:formatCode>General</c:formatCode>
                <c:ptCount val="84"/>
                <c:pt idx="0">
                  <c:v>0.60769436664723964</c:v>
                </c:pt>
                <c:pt idx="1">
                  <c:v>0.66402599540300178</c:v>
                </c:pt>
                <c:pt idx="2">
                  <c:v>0.74797267354658292</c:v>
                </c:pt>
                <c:pt idx="3">
                  <c:v>0.61030696440317589</c:v>
                </c:pt>
                <c:pt idx="4">
                  <c:v>0.67741969517608613</c:v>
                </c:pt>
                <c:pt idx="5">
                  <c:v>0.78657009774848397</c:v>
                </c:pt>
                <c:pt idx="6">
                  <c:v>1.0073674773451464</c:v>
                </c:pt>
                <c:pt idx="7">
                  <c:v>0.63772267051925136</c:v>
                </c:pt>
                <c:pt idx="8">
                  <c:v>0.72266450748525435</c:v>
                </c:pt>
                <c:pt idx="9">
                  <c:v>0.77359887837891106</c:v>
                </c:pt>
                <c:pt idx="10">
                  <c:v>0.93166236002032687</c:v>
                </c:pt>
                <c:pt idx="11">
                  <c:v>0.61502699166692232</c:v>
                </c:pt>
                <c:pt idx="12">
                  <c:v>0.81551955268083132</c:v>
                </c:pt>
                <c:pt idx="13">
                  <c:v>0.80129288993951953</c:v>
                </c:pt>
                <c:pt idx="14">
                  <c:v>0.99861351366483542</c:v>
                </c:pt>
                <c:pt idx="15">
                  <c:v>0.76223948753151949</c:v>
                </c:pt>
                <c:pt idx="16">
                  <c:v>0.92333013731132685</c:v>
                </c:pt>
                <c:pt idx="17">
                  <c:v>0.99125491225815043</c:v>
                </c:pt>
                <c:pt idx="18">
                  <c:v>1.2372899141425426</c:v>
                </c:pt>
                <c:pt idx="19">
                  <c:v>0.98999114546110101</c:v>
                </c:pt>
                <c:pt idx="20">
                  <c:v>1.1644528555757012</c:v>
                </c:pt>
                <c:pt idx="21">
                  <c:v>1.2929860298115803</c:v>
                </c:pt>
                <c:pt idx="22">
                  <c:v>1.4671252530558792</c:v>
                </c:pt>
                <c:pt idx="23">
                  <c:v>1.239091127478297</c:v>
                </c:pt>
                <c:pt idx="24">
                  <c:v>1.2801185394121555</c:v>
                </c:pt>
                <c:pt idx="25">
                  <c:v>1.3863913494869051</c:v>
                </c:pt>
                <c:pt idx="26">
                  <c:v>1.8284727613478813</c:v>
                </c:pt>
                <c:pt idx="27">
                  <c:v>1.5423107521472175</c:v>
                </c:pt>
                <c:pt idx="28">
                  <c:v>1.5430722991705297</c:v>
                </c:pt>
                <c:pt idx="29">
                  <c:v>1.613690268845674</c:v>
                </c:pt>
                <c:pt idx="30">
                  <c:v>1.8625212715435768</c:v>
                </c:pt>
                <c:pt idx="31">
                  <c:v>1.8176050496373988</c:v>
                </c:pt>
                <c:pt idx="32">
                  <c:v>1.5504821190068059</c:v>
                </c:pt>
                <c:pt idx="33">
                  <c:v>2.0285067573906441</c:v>
                </c:pt>
                <c:pt idx="34">
                  <c:v>2.3446671537974875</c:v>
                </c:pt>
                <c:pt idx="35">
                  <c:v>2.2417440590401063</c:v>
                </c:pt>
                <c:pt idx="36">
                  <c:v>2.13984904371405</c:v>
                </c:pt>
                <c:pt idx="37">
                  <c:v>2.4499317517776347</c:v>
                </c:pt>
                <c:pt idx="38">
                  <c:v>2.7268290249383438</c:v>
                </c:pt>
                <c:pt idx="39">
                  <c:v>2.2956537376191668</c:v>
                </c:pt>
                <c:pt idx="40">
                  <c:v>2.7108450053484998</c:v>
                </c:pt>
                <c:pt idx="41">
                  <c:v>3.3510249085504746</c:v>
                </c:pt>
                <c:pt idx="42">
                  <c:v>3.6930296509944172</c:v>
                </c:pt>
                <c:pt idx="43">
                  <c:v>3.5837789585550666</c:v>
                </c:pt>
                <c:pt idx="44">
                  <c:v>3.6403891012232088</c:v>
                </c:pt>
                <c:pt idx="45">
                  <c:v>4.3165483400704749</c:v>
                </c:pt>
                <c:pt idx="46">
                  <c:v>4.3600074264962076</c:v>
                </c:pt>
                <c:pt idx="47">
                  <c:v>4.0622064406944638</c:v>
                </c:pt>
                <c:pt idx="48">
                  <c:v>4.7739489308268466</c:v>
                </c:pt>
                <c:pt idx="49">
                  <c:v>5.0756100991844928</c:v>
                </c:pt>
                <c:pt idx="50">
                  <c:v>5.0830326331443816</c:v>
                </c:pt>
                <c:pt idx="51">
                  <c:v>4.4706962123866347</c:v>
                </c:pt>
                <c:pt idx="52">
                  <c:v>5.5084543029369666</c:v>
                </c:pt>
                <c:pt idx="53">
                  <c:v>5.8200914010665423</c:v>
                </c:pt>
                <c:pt idx="54">
                  <c:v>6.4825966463935316</c:v>
                </c:pt>
                <c:pt idx="55">
                  <c:v>5.376821072872298</c:v>
                </c:pt>
                <c:pt idx="56">
                  <c:v>6.1150212613252366</c:v>
                </c:pt>
                <c:pt idx="57">
                  <c:v>6.4078295286397013</c:v>
                </c:pt>
                <c:pt idx="58">
                  <c:v>6.8961904125800766</c:v>
                </c:pt>
                <c:pt idx="59">
                  <c:v>5.8281638149785433</c:v>
                </c:pt>
                <c:pt idx="60">
                  <c:v>6.9124177742185626</c:v>
                </c:pt>
                <c:pt idx="61">
                  <c:v>7.6893565255286926</c:v>
                </c:pt>
                <c:pt idx="62">
                  <c:v>7.8675872709714252</c:v>
                </c:pt>
                <c:pt idx="63">
                  <c:v>6.1942068351726949</c:v>
                </c:pt>
                <c:pt idx="64">
                  <c:v>7.7058512313470438</c:v>
                </c:pt>
                <c:pt idx="65">
                  <c:v>8.8159111525653469</c:v>
                </c:pt>
                <c:pt idx="66">
                  <c:v>8.3480448042152773</c:v>
                </c:pt>
                <c:pt idx="67">
                  <c:v>6.8585191830459697</c:v>
                </c:pt>
                <c:pt idx="68">
                  <c:v>9.4119724937637237</c:v>
                </c:pt>
                <c:pt idx="69">
                  <c:v>10.233580449727954</c:v>
                </c:pt>
                <c:pt idx="70">
                  <c:v>9.5906481073404706</c:v>
                </c:pt>
                <c:pt idx="71">
                  <c:v>8.6605803674631847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957352"/>
        <c:axId val="203957744"/>
      </c:lineChart>
      <c:catAx>
        <c:axId val="203957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57744"/>
        <c:crosses val="autoZero"/>
        <c:auto val="1"/>
        <c:lblAlgn val="ctr"/>
        <c:lblOffset val="100"/>
        <c:noMultiLvlLbl val="0"/>
      </c:catAx>
      <c:valAx>
        <c:axId val="20395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5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Additive Triple Exponential</a:t>
            </a:r>
            <a:r>
              <a:rPr lang="en-US" baseline="0"/>
              <a:t> Smoothing</a:t>
            </a:r>
            <a:endParaRPr lang="en-US"/>
          </a:p>
        </c:rich>
      </c:tx>
      <c:layout>
        <c:manualLayout>
          <c:xMode val="edge"/>
          <c:yMode val="edge"/>
          <c:x val="0.40949300087489071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'ATriple ES'!$A$4</c:f>
              <c:strCache>
                <c:ptCount val="1"/>
                <c:pt idx="0">
                  <c:v>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'ATriple ES'!$A$5:$A$88</c:f>
              <c:numCache>
                <c:formatCode>General</c:formatCode>
                <c:ptCount val="84"/>
                <c:pt idx="0">
                  <c:v>-0.34249030894677601</c:v>
                </c:pt>
                <c:pt idx="1">
                  <c:v>-0.46203545959655867</c:v>
                </c:pt>
                <c:pt idx="2">
                  <c:v>-0.16251892949777494</c:v>
                </c:pt>
                <c:pt idx="3">
                  <c:v>-0.82098055206983023</c:v>
                </c:pt>
                <c:pt idx="4">
                  <c:v>-0.49429632181478012</c:v>
                </c:pt>
                <c:pt idx="5">
                  <c:v>-0.37106368139083207</c:v>
                </c:pt>
                <c:pt idx="6">
                  <c:v>-8.3381608939051013E-2</c:v>
                </c:pt>
                <c:pt idx="7">
                  <c:v>-0.59783700075562041</c:v>
                </c:pt>
                <c:pt idx="8">
                  <c:v>-0.3285040669720361</c:v>
                </c:pt>
                <c:pt idx="9">
                  <c:v>-0.26136476413440751</c:v>
                </c:pt>
                <c:pt idx="10">
                  <c:v>-8.3381608939051013E-2</c:v>
                </c:pt>
                <c:pt idx="11">
                  <c:v>-0.51082562376599072</c:v>
                </c:pt>
                <c:pt idx="12">
                  <c:v>-0.18632957819149348</c:v>
                </c:pt>
                <c:pt idx="13">
                  <c:v>-0.22314355131420971</c:v>
                </c:pt>
                <c:pt idx="14">
                  <c:v>0</c:v>
                </c:pt>
                <c:pt idx="15">
                  <c:v>-0.26136476413440751</c:v>
                </c:pt>
                <c:pt idx="16">
                  <c:v>-8.3381608939051013E-2</c:v>
                </c:pt>
                <c:pt idx="17">
                  <c:v>0</c:v>
                </c:pt>
                <c:pt idx="18">
                  <c:v>0.21511137961694549</c:v>
                </c:pt>
                <c:pt idx="19">
                  <c:v>0</c:v>
                </c:pt>
                <c:pt idx="20">
                  <c:v>0.14842000511827322</c:v>
                </c:pt>
                <c:pt idx="21">
                  <c:v>0.26236426446749106</c:v>
                </c:pt>
                <c:pt idx="22">
                  <c:v>0.37156355643248301</c:v>
                </c:pt>
                <c:pt idx="23">
                  <c:v>0.22314355131420976</c:v>
                </c:pt>
                <c:pt idx="24">
                  <c:v>0.23111172096338664</c:v>
                </c:pt>
                <c:pt idx="25">
                  <c:v>0.32208349916911322</c:v>
                </c:pt>
                <c:pt idx="26">
                  <c:v>0.62057648772510998</c:v>
                </c:pt>
                <c:pt idx="27">
                  <c:v>0.44468582126144574</c:v>
                </c:pt>
                <c:pt idx="28">
                  <c:v>0.42526773540434409</c:v>
                </c:pt>
                <c:pt idx="29">
                  <c:v>0.46373401623214022</c:v>
                </c:pt>
                <c:pt idx="30">
                  <c:v>0.60431596685332956</c:v>
                </c:pt>
                <c:pt idx="31">
                  <c:v>0.62057648772510998</c:v>
                </c:pt>
                <c:pt idx="32">
                  <c:v>0.42526773540434409</c:v>
                </c:pt>
                <c:pt idx="33">
                  <c:v>0.72754860727727766</c:v>
                </c:pt>
                <c:pt idx="34">
                  <c:v>0.85015092936961001</c:v>
                </c:pt>
                <c:pt idx="35">
                  <c:v>0.81093021621632877</c:v>
                </c:pt>
                <c:pt idx="36">
                  <c:v>0.77010822169607374</c:v>
                </c:pt>
                <c:pt idx="37">
                  <c:v>0.88789125735245711</c:v>
                </c:pt>
                <c:pt idx="38">
                  <c:v>0.99325177301028345</c:v>
                </c:pt>
                <c:pt idx="39">
                  <c:v>0.81093021621632877</c:v>
                </c:pt>
                <c:pt idx="40">
                  <c:v>1.0260415958332743</c:v>
                </c:pt>
                <c:pt idx="41">
                  <c:v>1.2296405510745139</c:v>
                </c:pt>
                <c:pt idx="42">
                  <c:v>1.3056264580524357</c:v>
                </c:pt>
                <c:pt idx="43">
                  <c:v>1.2809338454620642</c:v>
                </c:pt>
                <c:pt idx="44">
                  <c:v>1.2809338454620642</c:v>
                </c:pt>
                <c:pt idx="45">
                  <c:v>1.4632554022560189</c:v>
                </c:pt>
                <c:pt idx="46">
                  <c:v>1.4632554022560189</c:v>
                </c:pt>
                <c:pt idx="47">
                  <c:v>1.3987168811184478</c:v>
                </c:pt>
                <c:pt idx="48">
                  <c:v>1.5810384379124025</c:v>
                </c:pt>
                <c:pt idx="49">
                  <c:v>1.6174060820832772</c:v>
                </c:pt>
                <c:pt idx="50">
                  <c:v>1.6174060820832772</c:v>
                </c:pt>
                <c:pt idx="51">
                  <c:v>1.4838746894587547</c:v>
                </c:pt>
                <c:pt idx="52">
                  <c:v>1.7191887763932197</c:v>
                </c:pt>
                <c:pt idx="53">
                  <c:v>1.766441661243765</c:v>
                </c:pt>
                <c:pt idx="54">
                  <c:v>1.8825138324965192</c:v>
                </c:pt>
                <c:pt idx="55">
                  <c:v>1.6695918352538475</c:v>
                </c:pt>
                <c:pt idx="56">
                  <c:v>1.7967470107390942</c:v>
                </c:pt>
                <c:pt idx="57">
                  <c:v>1.8547342683894434</c:v>
                </c:pt>
                <c:pt idx="58">
                  <c:v>1.9358598132018119</c:v>
                </c:pt>
                <c:pt idx="59">
                  <c:v>1.766441661243765</c:v>
                </c:pt>
                <c:pt idx="60">
                  <c:v>1.9358598132018119</c:v>
                </c:pt>
                <c:pt idx="61">
                  <c:v>2.046401687601636</c:v>
                </c:pt>
                <c:pt idx="62">
                  <c:v>2.0579625100027119</c:v>
                </c:pt>
                <c:pt idx="63">
                  <c:v>1.8115620965242347</c:v>
                </c:pt>
                <c:pt idx="64">
                  <c:v>2.046401687601636</c:v>
                </c:pt>
                <c:pt idx="65">
                  <c:v>2.187174241482718</c:v>
                </c:pt>
                <c:pt idx="66">
                  <c:v>2.1138429683971682</c:v>
                </c:pt>
                <c:pt idx="67">
                  <c:v>1.922787731634459</c:v>
                </c:pt>
                <c:pt idx="68">
                  <c:v>2.2554934854601951</c:v>
                </c:pt>
                <c:pt idx="69">
                  <c:v>2.3282528397426234</c:v>
                </c:pt>
                <c:pt idx="70">
                  <c:v>2.2554934854601951</c:v>
                </c:pt>
                <c:pt idx="71">
                  <c:v>2.166765369851511</c:v>
                </c:pt>
                <c:pt idx="72">
                  <c:v>2.4748563139344988</c:v>
                </c:pt>
                <c:pt idx="73">
                  <c:v>2.4898941912990393</c:v>
                </c:pt>
                <c:pt idx="74">
                  <c:v>2.4973291697865574</c:v>
                </c:pt>
                <c:pt idx="75">
                  <c:v>2.187174241482718</c:v>
                </c:pt>
                <c:pt idx="76">
                  <c:v>2.6419103985976649</c:v>
                </c:pt>
                <c:pt idx="77">
                  <c:v>2.5618676909241289</c:v>
                </c:pt>
                <c:pt idx="78">
                  <c:v>2.6979998652487085</c:v>
                </c:pt>
                <c:pt idx="79">
                  <c:v>2.3015845926604621</c:v>
                </c:pt>
                <c:pt idx="80">
                  <c:v>2.7850112422383382</c:v>
                </c:pt>
                <c:pt idx="81">
                  <c:v>2.6858045921548905</c:v>
                </c:pt>
                <c:pt idx="82">
                  <c:v>2.7738379416402132</c:v>
                </c:pt>
                <c:pt idx="83">
                  <c:v>2.4518667957098002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'ATriple ES'!$B$4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'ATriple ES'!$B$5:$B$88</c:f>
              <c:numCache>
                <c:formatCode>General</c:formatCode>
                <c:ptCount val="84"/>
                <c:pt idx="72">
                  <c:v>2.3895923939018973</c:v>
                </c:pt>
                <c:pt idx="73">
                  <c:v>2.4745158029875651</c:v>
                </c:pt>
                <c:pt idx="74">
                  <c:v>2.4296650486638196</c:v>
                </c:pt>
                <c:pt idx="75">
                  <c:v>2.2948222198492738</c:v>
                </c:pt>
                <c:pt idx="76">
                  <c:v>2.5372445597517199</c:v>
                </c:pt>
                <c:pt idx="77">
                  <c:v>2.6221679688373882</c:v>
                </c:pt>
                <c:pt idx="78">
                  <c:v>2.5773172145136427</c:v>
                </c:pt>
                <c:pt idx="79">
                  <c:v>2.4424743856990965</c:v>
                </c:pt>
                <c:pt idx="80">
                  <c:v>2.684896725601543</c:v>
                </c:pt>
                <c:pt idx="81">
                  <c:v>2.7698201346872113</c:v>
                </c:pt>
                <c:pt idx="82">
                  <c:v>2.7249693803634658</c:v>
                </c:pt>
                <c:pt idx="83">
                  <c:v>2.5901265515489196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'ATriple ES'!$C$4</c:f>
              <c:strCache>
                <c:ptCount val="1"/>
                <c:pt idx="0">
                  <c:v>Smoothing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'ATriple ES'!$C$5:$C$88</c:f>
              <c:numCache>
                <c:formatCode>General</c:formatCode>
                <c:ptCount val="84"/>
                <c:pt idx="0">
                  <c:v>-0.52195446979294602</c:v>
                </c:pt>
                <c:pt idx="1">
                  <c:v>-0.43126320670347468</c:v>
                </c:pt>
                <c:pt idx="2">
                  <c:v>-0.3135783413898327</c:v>
                </c:pt>
                <c:pt idx="3">
                  <c:v>-0.52122923222468631</c:v>
                </c:pt>
                <c:pt idx="4">
                  <c:v>-0.49174193402431582</c:v>
                </c:pt>
                <c:pt idx="5">
                  <c:v>-0.36807156911633959</c:v>
                </c:pt>
                <c:pt idx="6">
                  <c:v>-0.11810382359687172</c:v>
                </c:pt>
                <c:pt idx="7">
                  <c:v>-0.52741810894523922</c:v>
                </c:pt>
                <c:pt idx="8">
                  <c:v>-0.34385738746964911</c:v>
                </c:pt>
                <c:pt idx="9">
                  <c:v>-0.2569295216651124</c:v>
                </c:pt>
                <c:pt idx="10">
                  <c:v>-7.040373624453844E-2</c:v>
                </c:pt>
                <c:pt idx="11">
                  <c:v>-0.47971916309708851</c:v>
                </c:pt>
                <c:pt idx="12">
                  <c:v>-0.20768010270205689</c:v>
                </c:pt>
                <c:pt idx="13">
                  <c:v>-0.20427693167402214</c:v>
                </c:pt>
                <c:pt idx="14">
                  <c:v>5.8425775530972224E-3</c:v>
                </c:pt>
                <c:pt idx="15">
                  <c:v>-0.29066761169636235</c:v>
                </c:pt>
                <c:pt idx="16">
                  <c:v>-8.3754174946066962E-2</c:v>
                </c:pt>
                <c:pt idx="17">
                  <c:v>-1.7113538458751673E-2</c:v>
                </c:pt>
                <c:pt idx="18">
                  <c:v>0.20410659728679056</c:v>
                </c:pt>
                <c:pt idx="19">
                  <c:v>-3.6539528712581079E-2</c:v>
                </c:pt>
                <c:pt idx="20">
                  <c:v>0.13983649632152484</c:v>
                </c:pt>
                <c:pt idx="21">
                  <c:v>0.24077868758824575</c:v>
                </c:pt>
                <c:pt idx="22">
                  <c:v>0.38623321601457805</c:v>
                </c:pt>
                <c:pt idx="23">
                  <c:v>0.20025442515776343</c:v>
                </c:pt>
                <c:pt idx="24">
                  <c:v>0.25978195100928347</c:v>
                </c:pt>
                <c:pt idx="25">
                  <c:v>0.34002611892465445</c:v>
                </c:pt>
                <c:pt idx="26">
                  <c:v>0.59416875477506559</c:v>
                </c:pt>
                <c:pt idx="27">
                  <c:v>0.41652606685077437</c:v>
                </c:pt>
                <c:pt idx="28">
                  <c:v>0.434436264186706</c:v>
                </c:pt>
                <c:pt idx="29">
                  <c:v>0.48767335173473492</c:v>
                </c:pt>
                <c:pt idx="30">
                  <c:v>0.64674609825830798</c:v>
                </c:pt>
                <c:pt idx="31">
                  <c:v>0.58898506658293626</c:v>
                </c:pt>
                <c:pt idx="32">
                  <c:v>0.46207884380992442</c:v>
                </c:pt>
                <c:pt idx="33">
                  <c:v>0.68986574799420741</c:v>
                </c:pt>
                <c:pt idx="34">
                  <c:v>0.84376024047185827</c:v>
                </c:pt>
                <c:pt idx="35">
                  <c:v>0.79389039861790744</c:v>
                </c:pt>
                <c:pt idx="36">
                  <c:v>0.74457062409873687</c:v>
                </c:pt>
                <c:pt idx="37">
                  <c:v>0.89222675032140875</c:v>
                </c:pt>
                <c:pt idx="38">
                  <c:v>1.009528999023688</c:v>
                </c:pt>
                <c:pt idx="39">
                  <c:v>0.85550851543427608</c:v>
                </c:pt>
                <c:pt idx="40">
                  <c:v>0.9775074454039312</c:v>
                </c:pt>
                <c:pt idx="41">
                  <c:v>1.1793507779079722</c:v>
                </c:pt>
                <c:pt idx="42">
                  <c:v>1.2858600119053378</c:v>
                </c:pt>
                <c:pt idx="43">
                  <c:v>1.2451500359106429</c:v>
                </c:pt>
                <c:pt idx="44">
                  <c:v>1.2803421964038511</c:v>
                </c:pt>
                <c:pt idx="45">
                  <c:v>1.4580980149120368</c:v>
                </c:pt>
                <c:pt idx="46">
                  <c:v>1.4855312148941</c:v>
                </c:pt>
                <c:pt idx="47">
                  <c:v>1.4125721920195644</c:v>
                </c:pt>
                <c:pt idx="48">
                  <c:v>1.5494260029761711</c:v>
                </c:pt>
                <c:pt idx="49">
                  <c:v>1.631952731445701</c:v>
                </c:pt>
                <c:pt idx="50">
                  <c:v>1.640991897881078</c:v>
                </c:pt>
                <c:pt idx="51">
                  <c:v>1.5209086016813378</c:v>
                </c:pt>
                <c:pt idx="52">
                  <c:v>1.7091890999259756</c:v>
                </c:pt>
                <c:pt idx="53">
                  <c:v>1.7706900892161794</c:v>
                </c:pt>
                <c:pt idx="54">
                  <c:v>1.8606623038619869</c:v>
                </c:pt>
                <c:pt idx="55">
                  <c:v>1.6888985766077578</c:v>
                </c:pt>
                <c:pt idx="56">
                  <c:v>1.8253088564018276</c:v>
                </c:pt>
                <c:pt idx="57">
                  <c:v>1.8767567649187944</c:v>
                </c:pt>
                <c:pt idx="58">
                  <c:v>1.9469844053199206</c:v>
                </c:pt>
                <c:pt idx="59">
                  <c:v>1.7765221338290453</c:v>
                </c:pt>
                <c:pt idx="60">
                  <c:v>1.9394989082892595</c:v>
                </c:pt>
                <c:pt idx="61">
                  <c:v>2.0371721699308396</c:v>
                </c:pt>
                <c:pt idx="62">
                  <c:v>2.0698987685903028</c:v>
                </c:pt>
                <c:pt idx="63">
                  <c:v>1.843431909993702</c:v>
                </c:pt>
                <c:pt idx="64">
                  <c:v>2.0496195015883818</c:v>
                </c:pt>
                <c:pt idx="65">
                  <c:v>2.173937225827447</c:v>
                </c:pt>
                <c:pt idx="66">
                  <c:v>2.1355653624154058</c:v>
                </c:pt>
                <c:pt idx="67">
                  <c:v>1.936068535876609</c:v>
                </c:pt>
                <c:pt idx="68">
                  <c:v>2.2303474203046694</c:v>
                </c:pt>
                <c:pt idx="69">
                  <c:v>2.3206482997147004</c:v>
                </c:pt>
                <c:pt idx="70">
                  <c:v>2.265195054655051</c:v>
                </c:pt>
                <c:pt idx="71">
                  <c:v>2.1471700539994507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'ATriple ES'!$D$4</c:f>
              <c:strCache>
                <c:ptCount val="1"/>
                <c:pt idx="0">
                  <c:v>Forecast w Damping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'ATriple ES'!$D$5:$D$88</c:f>
              <c:numCache>
                <c:formatCode>General</c:formatCode>
                <c:ptCount val="84"/>
                <c:pt idx="72">
                  <c:v>2.3889214500332367</c:v>
                </c:pt>
                <c:pt idx="73">
                  <c:v>2.4736476000885377</c:v>
                </c:pt>
                <c:pt idx="74">
                  <c:v>2.4285790521929296</c:v>
                </c:pt>
                <c:pt idx="75">
                  <c:v>2.2934973291187468</c:v>
                </c:pt>
                <c:pt idx="76">
                  <c:v>2.5353545780832212</c:v>
                </c:pt>
                <c:pt idx="77">
                  <c:v>2.6199997830335979</c:v>
                </c:pt>
                <c:pt idx="78">
                  <c:v>2.5748503347777905</c:v>
                </c:pt>
                <c:pt idx="79">
                  <c:v>2.4396877560633996</c:v>
                </c:pt>
                <c:pt idx="80">
                  <c:v>2.681464194082936</c:v>
                </c:pt>
                <c:pt idx="81">
                  <c:v>2.766028632758939</c:v>
                </c:pt>
                <c:pt idx="82">
                  <c:v>2.7207984628746291</c:v>
                </c:pt>
                <c:pt idx="83">
                  <c:v>2.5855552071529271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'ATriple ES'!$E$4</c:f>
              <c:strCache>
                <c:ptCount val="1"/>
                <c:pt idx="0">
                  <c:v>Smoothing w Damping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'ATriple ES'!$E$5:$E$88</c:f>
              <c:numCache>
                <c:formatCode>General</c:formatCode>
                <c:ptCount val="84"/>
                <c:pt idx="0">
                  <c:v>-0.52195446979294602</c:v>
                </c:pt>
                <c:pt idx="1">
                  <c:v>-0.43126320670347468</c:v>
                </c:pt>
                <c:pt idx="2">
                  <c:v>-0.3135783413898327</c:v>
                </c:pt>
                <c:pt idx="3">
                  <c:v>-0.52122923222468631</c:v>
                </c:pt>
                <c:pt idx="4">
                  <c:v>-0.49181207160316132</c:v>
                </c:pt>
                <c:pt idx="5">
                  <c:v>-0.36819628186177145</c:v>
                </c:pt>
                <c:pt idx="6">
                  <c:v>-0.1182699309888412</c:v>
                </c:pt>
                <c:pt idx="7">
                  <c:v>-0.52761526342616416</c:v>
                </c:pt>
                <c:pt idx="8">
                  <c:v>-0.3440438648413548</c:v>
                </c:pt>
                <c:pt idx="9">
                  <c:v>-0.25711443222927255</c:v>
                </c:pt>
                <c:pt idx="10">
                  <c:v>-7.0592628344763236E-2</c:v>
                </c:pt>
                <c:pt idx="11">
                  <c:v>-0.47991444667056871</c:v>
                </c:pt>
                <c:pt idx="12">
                  <c:v>-0.20786514586807414</c:v>
                </c:pt>
                <c:pt idx="13">
                  <c:v>-0.20445614881022131</c:v>
                </c:pt>
                <c:pt idx="14">
                  <c:v>5.6655692489989973E-3</c:v>
                </c:pt>
                <c:pt idx="15">
                  <c:v>-0.29084516256658766</c:v>
                </c:pt>
                <c:pt idx="16">
                  <c:v>-8.3925809251198635E-2</c:v>
                </c:pt>
                <c:pt idx="17">
                  <c:v>-1.7281019396500199E-2</c:v>
                </c:pt>
                <c:pt idx="18">
                  <c:v>0.20394064419214869</c:v>
                </c:pt>
                <c:pt idx="19">
                  <c:v>-3.6706650504132118E-2</c:v>
                </c:pt>
                <c:pt idx="20">
                  <c:v>0.13967040635974798</c:v>
                </c:pt>
                <c:pt idx="21">
                  <c:v>0.24061250639969428</c:v>
                </c:pt>
                <c:pt idx="22">
                  <c:v>0.38606523602703025</c:v>
                </c:pt>
                <c:pt idx="23">
                  <c:v>0.20008321558129227</c:v>
                </c:pt>
                <c:pt idx="24">
                  <c:v>0.25960871768610011</c:v>
                </c:pt>
                <c:pt idx="25">
                  <c:v>0.33985128242736656</c:v>
                </c:pt>
                <c:pt idx="26">
                  <c:v>0.59399275082018366</c:v>
                </c:pt>
                <c:pt idx="27">
                  <c:v>0.41634815686258581</c:v>
                </c:pt>
                <c:pt idx="28">
                  <c:v>0.43425682431901907</c:v>
                </c:pt>
                <c:pt idx="29">
                  <c:v>0.48749219188848092</c:v>
                </c:pt>
                <c:pt idx="30">
                  <c:v>0.64656331099246844</c:v>
                </c:pt>
                <c:pt idx="31">
                  <c:v>0.58880143155243603</c:v>
                </c:pt>
                <c:pt idx="32">
                  <c:v>0.46189524451514052</c:v>
                </c:pt>
                <c:pt idx="33">
                  <c:v>0.68968306207856345</c:v>
                </c:pt>
                <c:pt idx="34">
                  <c:v>0.84357803527555919</c:v>
                </c:pt>
                <c:pt idx="35">
                  <c:v>0.79370782432425513</c:v>
                </c:pt>
                <c:pt idx="36">
                  <c:v>0.74438756864136946</c:v>
                </c:pt>
                <c:pt idx="37">
                  <c:v>0.89204227810940617</c:v>
                </c:pt>
                <c:pt idx="38">
                  <c:v>1.0093427682139868</c:v>
                </c:pt>
                <c:pt idx="39">
                  <c:v>0.85532040629144845</c:v>
                </c:pt>
                <c:pt idx="40">
                  <c:v>0.97731868433153624</c:v>
                </c:pt>
                <c:pt idx="41">
                  <c:v>1.1791613800184506</c:v>
                </c:pt>
                <c:pt idx="42">
                  <c:v>1.2856690669019826</c:v>
                </c:pt>
                <c:pt idx="43">
                  <c:v>1.2449562621811068</c:v>
                </c:pt>
                <c:pt idx="44">
                  <c:v>1.280143965355806</c:v>
                </c:pt>
                <c:pt idx="45">
                  <c:v>1.4578947786348122</c:v>
                </c:pt>
                <c:pt idx="46">
                  <c:v>1.4853230132454394</c:v>
                </c:pt>
                <c:pt idx="47">
                  <c:v>1.4123594618955546</c:v>
                </c:pt>
                <c:pt idx="48">
                  <c:v>1.5492094640218843</c:v>
                </c:pt>
                <c:pt idx="49">
                  <c:v>1.6317324895379706</c:v>
                </c:pt>
                <c:pt idx="50">
                  <c:v>1.6407685105034215</c:v>
                </c:pt>
                <c:pt idx="51">
                  <c:v>1.5206826678845882</c:v>
                </c:pt>
                <c:pt idx="52">
                  <c:v>1.7089616760119823</c:v>
                </c:pt>
                <c:pt idx="53">
                  <c:v>1.7704621145264596</c:v>
                </c:pt>
                <c:pt idx="54">
                  <c:v>1.8604344553574268</c:v>
                </c:pt>
                <c:pt idx="55">
                  <c:v>1.6886706110578407</c:v>
                </c:pt>
                <c:pt idx="56">
                  <c:v>1.8250806141179268</c:v>
                </c:pt>
                <c:pt idx="57">
                  <c:v>1.8765289940336132</c:v>
                </c:pt>
                <c:pt idx="58">
                  <c:v>1.9467580443243673</c:v>
                </c:pt>
                <c:pt idx="59">
                  <c:v>1.7762980922056171</c:v>
                </c:pt>
                <c:pt idx="60">
                  <c:v>1.9392775887005789</c:v>
                </c:pt>
                <c:pt idx="61">
                  <c:v>2.0369537801334681</c:v>
                </c:pt>
                <c:pt idx="62">
                  <c:v>2.0696831324742049</c:v>
                </c:pt>
                <c:pt idx="63">
                  <c:v>1.8432191067452965</c:v>
                </c:pt>
                <c:pt idx="64">
                  <c:v>2.0494099272190054</c:v>
                </c:pt>
                <c:pt idx="65">
                  <c:v>2.1737311480446699</c:v>
                </c:pt>
                <c:pt idx="66">
                  <c:v>2.1353627342775225</c:v>
                </c:pt>
                <c:pt idx="67">
                  <c:v>1.9358695658384182</c:v>
                </c:pt>
                <c:pt idx="68">
                  <c:v>2.2301520986501298</c:v>
                </c:pt>
                <c:pt idx="69">
                  <c:v>2.3204561398416317</c:v>
                </c:pt>
                <c:pt idx="70">
                  <c:v>2.2650057121891822</c:v>
                </c:pt>
                <c:pt idx="71">
                  <c:v>2.1469832111943665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958528"/>
        <c:axId val="203958920"/>
      </c:lineChart>
      <c:catAx>
        <c:axId val="203958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58920"/>
        <c:crosses val="autoZero"/>
        <c:auto val="1"/>
        <c:lblAlgn val="ctr"/>
        <c:lblOffset val="100"/>
        <c:noMultiLvlLbl val="0"/>
      </c:catAx>
      <c:valAx>
        <c:axId val="20395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5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297180</xdr:colOff>
      <xdr:row>1</xdr:row>
      <xdr:rowOff>11430</xdr:rowOff>
    </xdr:from>
    <xdr:to>
      <xdr:col>16</xdr:col>
      <xdr:colOff>601980</xdr:colOff>
      <xdr:row>16</xdr:row>
      <xdr:rowOff>11430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5</xdr:row>
      <xdr:rowOff>140970</xdr:rowOff>
    </xdr:from>
    <xdr:to>
      <xdr:col>13</xdr:col>
      <xdr:colOff>266700</xdr:colOff>
      <xdr:row>20</xdr:row>
      <xdr:rowOff>140970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243840</xdr:colOff>
      <xdr:row>11</xdr:row>
      <xdr:rowOff>125730</xdr:rowOff>
    </xdr:from>
    <xdr:to>
      <xdr:col>15</xdr:col>
      <xdr:colOff>548640</xdr:colOff>
      <xdr:row>26</xdr:row>
      <xdr:rowOff>125730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14</xdr:row>
      <xdr:rowOff>125730</xdr:rowOff>
    </xdr:from>
    <xdr:to>
      <xdr:col>13</xdr:col>
      <xdr:colOff>220980</xdr:colOff>
      <xdr:row>32</xdr:row>
      <xdr:rowOff>7620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14</xdr:row>
      <xdr:rowOff>125730</xdr:rowOff>
    </xdr:from>
    <xdr:to>
      <xdr:col>13</xdr:col>
      <xdr:colOff>220980</xdr:colOff>
      <xdr:row>32</xdr:row>
      <xdr:rowOff>7620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121920</xdr:colOff>
      <xdr:row>3</xdr:row>
      <xdr:rowOff>38100</xdr:rowOff>
    </xdr:from>
    <xdr:to>
      <xdr:col>8</xdr:col>
      <xdr:colOff>708660</xdr:colOff>
      <xdr:row>5</xdr:row>
      <xdr:rowOff>190500</xdr:rowOff>
    </xdr:to>
    <xdr:cxnSp macro="">
      <xdr:nvCxnSpPr>
        <xdr:cNvPr id="7" name="Elbow Connector 6"/>
        <xdr:cNvCxnSpPr/>
      </xdr:nvCxnSpPr>
      <xdr:spPr>
        <a:xfrm>
          <a:off x="3779520" y="731520"/>
          <a:ext cx="1912620" cy="807720"/>
        </a:xfrm>
        <a:prstGeom prst="bentConnector3">
          <a:avLst>
            <a:gd name="adj1" fmla="val 598"/>
          </a:avLst>
        </a:prstGeom>
        <a:ln w="476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541020</xdr:colOff>
      <xdr:row>3</xdr:row>
      <xdr:rowOff>0</xdr:rowOff>
    </xdr:from>
    <xdr:to>
      <xdr:col>8</xdr:col>
      <xdr:colOff>746760</xdr:colOff>
      <xdr:row>11</xdr:row>
      <xdr:rowOff>114300</xdr:rowOff>
    </xdr:to>
    <xdr:cxnSp macro="">
      <xdr:nvCxnSpPr>
        <xdr:cNvPr id="11" name="Elbow Connector 10"/>
        <xdr:cNvCxnSpPr/>
      </xdr:nvCxnSpPr>
      <xdr:spPr>
        <a:xfrm>
          <a:off x="2979420" y="693420"/>
          <a:ext cx="2750820" cy="2522220"/>
        </a:xfrm>
        <a:prstGeom prst="bentConnector3">
          <a:avLst>
            <a:gd name="adj1" fmla="val 693"/>
          </a:avLst>
        </a:prstGeom>
        <a:ln w="476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3</xdr:row>
      <xdr:rowOff>30480</xdr:rowOff>
    </xdr:from>
    <xdr:to>
      <xdr:col>8</xdr:col>
      <xdr:colOff>716280</xdr:colOff>
      <xdr:row>13</xdr:row>
      <xdr:rowOff>121920</xdr:rowOff>
    </xdr:to>
    <xdr:cxnSp macro="">
      <xdr:nvCxnSpPr>
        <xdr:cNvPr id="14" name="Elbow Connector 13"/>
        <xdr:cNvCxnSpPr/>
      </xdr:nvCxnSpPr>
      <xdr:spPr>
        <a:xfrm>
          <a:off x="2247900" y="723900"/>
          <a:ext cx="3451860" cy="2956560"/>
        </a:xfrm>
        <a:prstGeom prst="bentConnector3">
          <a:avLst>
            <a:gd name="adj1" fmla="val -110"/>
          </a:avLst>
        </a:prstGeom>
        <a:ln w="476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ftp://ftp.stat.duke.edu/pub/bats/DATASETS/johnson.da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ftp://ftp.stat.duke.edu/pub/bats/DATASETS/johnson.da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J31"/>
  <sheetViews>
    <sheetView topLeftCell="D1" workbookViewId="0">
      <selection activeCell="F25" sqref="F25"/>
    </sheetView>
  </sheetViews>
  <sheetFormatPr defaultRowHeight="14.4" x14ac:dyDescent="0.3"/>
  <cols>
    <col min="5" max="5" width="12" bestFit="1" customWidth="1"/>
    <col min="8" max="8" width="15.88671875" bestFit="1" customWidth="1"/>
  </cols>
  <sheetData>
    <row r="1" spans="4:10" x14ac:dyDescent="0.3">
      <c r="D1" t="s">
        <v>1</v>
      </c>
      <c r="E1" t="s">
        <v>2</v>
      </c>
      <c r="F1" t="s">
        <v>3</v>
      </c>
    </row>
    <row r="2" spans="4:10" x14ac:dyDescent="0.3">
      <c r="D2">
        <v>-1.3262616898891806</v>
      </c>
      <c r="F2">
        <f t="array" ref="F2:F31">FORECASTING(D2:D24,0,0,1)</f>
        <v>-1.3262616898891806</v>
      </c>
      <c r="H2" s="1" t="s">
        <v>4</v>
      </c>
      <c r="I2">
        <f>FORECASTING(D2:D31,0,0,3)</f>
        <v>0.24941448315509684</v>
      </c>
      <c r="J2">
        <v>1</v>
      </c>
    </row>
    <row r="3" spans="4:10" x14ac:dyDescent="0.3">
      <c r="D3">
        <v>-0.31920317830399975</v>
      </c>
      <c r="F3">
        <v>-1.3262616898891806</v>
      </c>
      <c r="H3" s="1" t="s">
        <v>5</v>
      </c>
      <c r="I3">
        <f t="array" ref="I3">FORECASTING(D2:D31,0,0,2)</f>
        <v>32.655071808401253</v>
      </c>
    </row>
    <row r="4" spans="4:10" x14ac:dyDescent="0.3">
      <c r="D4">
        <v>-2.0112086175465325</v>
      </c>
      <c r="F4">
        <v>-1.0769308817188388</v>
      </c>
    </row>
    <row r="5" spans="4:10" x14ac:dyDescent="0.3">
      <c r="D5">
        <v>1.1620605053183835</v>
      </c>
      <c r="F5">
        <v>-1.3082423896895179</v>
      </c>
    </row>
    <row r="6" spans="4:10" x14ac:dyDescent="0.3">
      <c r="D6">
        <v>1.0418353460194356</v>
      </c>
      <c r="F6">
        <v>-0.69663679760892516</v>
      </c>
    </row>
    <row r="7" spans="4:10" x14ac:dyDescent="0.3">
      <c r="D7">
        <v>0.21817457982775254</v>
      </c>
      <c r="F7">
        <v>-0.2662202333616327</v>
      </c>
    </row>
    <row r="8" spans="4:10" x14ac:dyDescent="0.3">
      <c r="D8">
        <v>-0.8289765474736811</v>
      </c>
      <c r="F8">
        <v>-0.14629219655280465</v>
      </c>
    </row>
    <row r="9" spans="4:10" x14ac:dyDescent="0.3">
      <c r="D9">
        <v>1.424861255078067</v>
      </c>
      <c r="F9">
        <v>-0.31531339937489111</v>
      </c>
    </row>
    <row r="10" spans="4:10" x14ac:dyDescent="0.3">
      <c r="D10">
        <v>-0.68009843919494772</v>
      </c>
      <c r="F10">
        <v>0.11552467801680388</v>
      </c>
    </row>
    <row r="11" spans="4:10" x14ac:dyDescent="0.3">
      <c r="D11">
        <v>0.3686412528608507</v>
      </c>
      <c r="F11">
        <v>-8.1458270373313962E-2</v>
      </c>
    </row>
    <row r="12" spans="4:10" x14ac:dyDescent="0.3">
      <c r="D12">
        <v>0.49435351522048249</v>
      </c>
      <c r="F12">
        <v>2.9978827465630707E-2</v>
      </c>
    </row>
    <row r="13" spans="4:10" x14ac:dyDescent="0.3">
      <c r="D13">
        <v>0.35684373645869744</v>
      </c>
      <c r="F13">
        <v>0.14495021677400055</v>
      </c>
    </row>
    <row r="14" spans="4:10" x14ac:dyDescent="0.3">
      <c r="D14">
        <v>-1.3542701849245686</v>
      </c>
      <c r="F14">
        <v>0.19741150070266034</v>
      </c>
    </row>
    <row r="15" spans="4:10" x14ac:dyDescent="0.3">
      <c r="D15">
        <v>0.43984025173614183</v>
      </c>
      <c r="F15">
        <v>-0.18675887693664453</v>
      </c>
      <c r="H15">
        <v>1</v>
      </c>
    </row>
    <row r="16" spans="4:10" x14ac:dyDescent="0.3">
      <c r="D16">
        <v>1.9582551492990534</v>
      </c>
      <c r="F16">
        <v>-3.1623435099307734E-2</v>
      </c>
    </row>
    <row r="17" spans="4:6" x14ac:dyDescent="0.3">
      <c r="D17">
        <v>-0.64385406053191829</v>
      </c>
      <c r="F17">
        <v>0.46103715006167051</v>
      </c>
    </row>
    <row r="18" spans="4:6" x14ac:dyDescent="0.3">
      <c r="D18">
        <v>-0.34038680596345122</v>
      </c>
      <c r="F18">
        <v>0.18748460538978592</v>
      </c>
    </row>
    <row r="19" spans="4:6" x14ac:dyDescent="0.3">
      <c r="D19">
        <v>2.0342375139071525</v>
      </c>
      <c r="F19">
        <v>5.6792491586437108E-2</v>
      </c>
    </row>
    <row r="20" spans="4:6" x14ac:dyDescent="0.3">
      <c r="D20">
        <v>1.0191396617931412</v>
      </c>
      <c r="F20">
        <v>0.54637473517580615</v>
      </c>
    </row>
    <row r="21" spans="4:6" x14ac:dyDescent="0.3">
      <c r="D21">
        <v>0.83478327572478261</v>
      </c>
      <c r="F21">
        <v>0.66342340699781299</v>
      </c>
    </row>
    <row r="22" spans="4:6" x14ac:dyDescent="0.3">
      <c r="D22">
        <v>1.2883378662554135</v>
      </c>
      <c r="F22">
        <v>0.70584923833347823</v>
      </c>
    </row>
    <row r="23" spans="4:6" x14ac:dyDescent="0.3">
      <c r="D23">
        <v>-7.0659743383275353E-3</v>
      </c>
      <c r="F23">
        <v>0.8500636595205886</v>
      </c>
    </row>
    <row r="24" spans="4:6" x14ac:dyDescent="0.3">
      <c r="D24">
        <v>0.2768636086395268</v>
      </c>
      <c r="F24">
        <v>0.63785272851877428</v>
      </c>
    </row>
    <row r="25" spans="4:6" x14ac:dyDescent="0.3">
      <c r="D25">
        <v>0.32450519159846947</v>
      </c>
      <c r="E25">
        <f t="array" ref="E25:E31">FORECASTING(D2:D24)</f>
        <v>0.63785272851877428</v>
      </c>
      <c r="F25" t="e">
        <v>#N/A</v>
      </c>
    </row>
    <row r="26" spans="4:6" x14ac:dyDescent="0.3">
      <c r="D26">
        <v>-4.3761087483960327E-2</v>
      </c>
      <c r="E26">
        <v>0.63785272851877428</v>
      </c>
      <c r="F26" t="e">
        <v>#N/A</v>
      </c>
    </row>
    <row r="27" spans="4:6" x14ac:dyDescent="0.3">
      <c r="D27">
        <v>-0.29248901465477606</v>
      </c>
      <c r="E27">
        <v>0.63785272851877428</v>
      </c>
      <c r="F27" t="e">
        <v>#N/A</v>
      </c>
    </row>
    <row r="28" spans="4:6" x14ac:dyDescent="0.3">
      <c r="D28">
        <v>-1.0766893156236272</v>
      </c>
      <c r="E28">
        <v>0.63785272851877428</v>
      </c>
      <c r="F28" t="e">
        <v>#N/A</v>
      </c>
    </row>
    <row r="29" spans="4:6" x14ac:dyDescent="0.3">
      <c r="D29">
        <v>0.3889181214016928</v>
      </c>
      <c r="E29">
        <v>0.63785272851877428</v>
      </c>
      <c r="F29" t="e">
        <v>#N/A</v>
      </c>
    </row>
    <row r="30" spans="4:6" x14ac:dyDescent="0.3">
      <c r="D30">
        <v>0.6905521461412073</v>
      </c>
      <c r="E30">
        <v>0.63785272851877428</v>
      </c>
      <c r="F30" t="e">
        <v>#N/A</v>
      </c>
    </row>
    <row r="31" spans="4:6" x14ac:dyDescent="0.3">
      <c r="D31">
        <v>0.45903747374776571</v>
      </c>
      <c r="E31">
        <v>0.63785272851877428</v>
      </c>
      <c r="F31" t="e">
        <v>#N/A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:F34"/>
  <sheetViews>
    <sheetView topLeftCell="A7" workbookViewId="0">
      <selection activeCell="D34" sqref="D34"/>
    </sheetView>
  </sheetViews>
  <sheetFormatPr defaultRowHeight="14.4" x14ac:dyDescent="0.3"/>
  <cols>
    <col min="2" max="2" width="12" bestFit="1" customWidth="1"/>
    <col min="5" max="5" width="16.44140625" bestFit="1" customWidth="1"/>
  </cols>
  <sheetData>
    <row r="4" spans="1:6" x14ac:dyDescent="0.3">
      <c r="A4" t="s">
        <v>1</v>
      </c>
      <c r="B4" t="s">
        <v>2</v>
      </c>
      <c r="C4" t="s">
        <v>3</v>
      </c>
    </row>
    <row r="5" spans="1:6" x14ac:dyDescent="0.3">
      <c r="A5">
        <v>6.4066711516304053E-2</v>
      </c>
      <c r="C5">
        <f t="array" ref="C5:C27">FORECASTING(A5:A27,-1,0,1)</f>
        <v>6.4066711516304053E-2</v>
      </c>
      <c r="E5" s="1" t="s">
        <v>4</v>
      </c>
      <c r="F5">
        <f>FORECASTING(A5:A34,-1,0,3)</f>
        <v>0.29810545988718762</v>
      </c>
    </row>
    <row r="6" spans="1:6" x14ac:dyDescent="0.3">
      <c r="A6">
        <v>0.65231841779401978</v>
      </c>
      <c r="C6">
        <v>0.32192113158525137</v>
      </c>
      <c r="E6" s="1" t="s">
        <v>5</v>
      </c>
      <c r="F6">
        <f t="array" ref="F6">FORECASTING(A5:A34,-1,0,2)</f>
        <v>132.9020181461467</v>
      </c>
    </row>
    <row r="7" spans="1:6" x14ac:dyDescent="0.3">
      <c r="A7">
        <v>-2.2580874709178334</v>
      </c>
      <c r="C7">
        <v>-0.82383207848155948</v>
      </c>
    </row>
    <row r="8" spans="1:6" x14ac:dyDescent="0.3">
      <c r="A8">
        <v>0.27116874657258699</v>
      </c>
      <c r="C8">
        <v>-0.28530096421140966</v>
      </c>
    </row>
    <row r="9" spans="1:6" x14ac:dyDescent="0.3">
      <c r="A9">
        <v>0.35337243182290767</v>
      </c>
      <c r="C9">
        <v>-7.2887766432249423E-3</v>
      </c>
      <c r="D9" s="1"/>
    </row>
    <row r="10" spans="1:6" x14ac:dyDescent="0.3">
      <c r="A10">
        <v>2.2489267872448542</v>
      </c>
      <c r="C10">
        <v>0.96474644053775083</v>
      </c>
      <c r="D10" s="1"/>
    </row>
    <row r="11" spans="1:6" x14ac:dyDescent="0.3">
      <c r="A11">
        <v>3.2466672784814872</v>
      </c>
      <c r="C11">
        <v>1.90068658905193</v>
      </c>
      <c r="D11" s="1"/>
    </row>
    <row r="12" spans="1:6" x14ac:dyDescent="0.3">
      <c r="A12">
        <v>5.5720743717561119</v>
      </c>
      <c r="C12">
        <v>3.4242769788348375</v>
      </c>
      <c r="D12" s="1"/>
    </row>
    <row r="13" spans="1:6" x14ac:dyDescent="0.3">
      <c r="A13">
        <v>3.2316849661136042</v>
      </c>
      <c r="C13">
        <v>3.2097124673585196</v>
      </c>
    </row>
    <row r="14" spans="1:6" x14ac:dyDescent="0.3">
      <c r="A14">
        <v>0.82283701360842321</v>
      </c>
      <c r="C14">
        <v>2.1112573826768908</v>
      </c>
    </row>
    <row r="15" spans="1:6" x14ac:dyDescent="0.3">
      <c r="A15">
        <v>2.0846745509049418</v>
      </c>
      <c r="C15">
        <v>2.1369074043849237</v>
      </c>
    </row>
    <row r="16" spans="1:6" x14ac:dyDescent="0.3">
      <c r="A16">
        <v>3.2773442385969185</v>
      </c>
      <c r="C16">
        <v>2.6538281611691446</v>
      </c>
    </row>
    <row r="17" spans="1:3" x14ac:dyDescent="0.3">
      <c r="A17">
        <v>3.2783565120714582</v>
      </c>
      <c r="C17">
        <v>2.9062915688180455</v>
      </c>
    </row>
    <row r="18" spans="1:3" x14ac:dyDescent="0.3">
      <c r="A18">
        <v>4.0275804848332388</v>
      </c>
      <c r="C18">
        <v>3.3727181544145211</v>
      </c>
    </row>
    <row r="19" spans="1:3" x14ac:dyDescent="0.3">
      <c r="A19">
        <v>5.3121934330372618</v>
      </c>
      <c r="C19">
        <v>4.1836040395714633</v>
      </c>
    </row>
    <row r="20" spans="1:3" x14ac:dyDescent="0.3">
      <c r="A20">
        <v>1.7025984057464256</v>
      </c>
      <c r="C20">
        <v>3.0299685054455416</v>
      </c>
    </row>
    <row r="21" spans="1:3" x14ac:dyDescent="0.3">
      <c r="A21">
        <v>3.6035590631383663</v>
      </c>
      <c r="C21">
        <v>3.3149705584338807</v>
      </c>
    </row>
    <row r="22" spans="1:3" x14ac:dyDescent="0.3">
      <c r="A22">
        <v>5.1906367430811597</v>
      </c>
      <c r="C22">
        <v>4.1374056765349385</v>
      </c>
    </row>
    <row r="23" spans="1:3" x14ac:dyDescent="0.3">
      <c r="A23">
        <v>5.4119927185523125</v>
      </c>
      <c r="C23">
        <v>4.6489294266213594</v>
      </c>
    </row>
    <row r="24" spans="1:3" x14ac:dyDescent="0.3">
      <c r="A24">
        <v>4.8067556539938927</v>
      </c>
      <c r="C24">
        <v>4.6652945406868334</v>
      </c>
    </row>
    <row r="25" spans="1:3" x14ac:dyDescent="0.3">
      <c r="A25">
        <v>3.1389231791138248</v>
      </c>
      <c r="C25">
        <v>3.9690936437205098</v>
      </c>
    </row>
    <row r="26" spans="1:3" x14ac:dyDescent="0.3">
      <c r="A26">
        <v>5.0226479241670781</v>
      </c>
      <c r="C26">
        <v>4.4575005689320424</v>
      </c>
    </row>
    <row r="27" spans="1:3" x14ac:dyDescent="0.3">
      <c r="A27">
        <v>3.6867848680985369</v>
      </c>
      <c r="C27">
        <v>4.1047579043205609</v>
      </c>
    </row>
    <row r="28" spans="1:3" x14ac:dyDescent="0.3">
      <c r="A28">
        <v>7.4922197695981865</v>
      </c>
      <c r="B28">
        <f t="array" ref="B28:B34">FORECASTING(A5:A27,-1)</f>
        <v>4.0774175306724247</v>
      </c>
    </row>
    <row r="29" spans="1:3" x14ac:dyDescent="0.3">
      <c r="A29">
        <v>6.618393728339349</v>
      </c>
      <c r="B29">
        <v>4.0500771570242877</v>
      </c>
    </row>
    <row r="30" spans="1:3" x14ac:dyDescent="0.3">
      <c r="A30">
        <v>8.5686579586822713</v>
      </c>
      <c r="B30">
        <v>4.0227367833761516</v>
      </c>
    </row>
    <row r="31" spans="1:3" x14ac:dyDescent="0.3">
      <c r="A31">
        <v>4.1819492225695338</v>
      </c>
      <c r="B31">
        <v>3.9953964097280146</v>
      </c>
    </row>
    <row r="32" spans="1:3" x14ac:dyDescent="0.3">
      <c r="A32">
        <v>9.5501600336995462</v>
      </c>
      <c r="B32">
        <v>3.968056036079878</v>
      </c>
    </row>
    <row r="33" spans="1:2" x14ac:dyDescent="0.3">
      <c r="A33">
        <v>11.557736636595884</v>
      </c>
      <c r="B33">
        <v>3.9407156624317414</v>
      </c>
    </row>
    <row r="34" spans="1:2" x14ac:dyDescent="0.3">
      <c r="A34">
        <v>5.5752720404477039</v>
      </c>
      <c r="B34">
        <v>3.9133752887836049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1:M31"/>
  <sheetViews>
    <sheetView tabSelected="1" topLeftCell="D7" workbookViewId="0">
      <selection activeCell="M9" sqref="M9"/>
    </sheetView>
  </sheetViews>
  <sheetFormatPr defaultRowHeight="14.4" x14ac:dyDescent="0.3"/>
  <cols>
    <col min="5" max="5" width="12" bestFit="1" customWidth="1"/>
    <col min="8" max="8" width="15.88671875" bestFit="1" customWidth="1"/>
  </cols>
  <sheetData>
    <row r="1" spans="4:13" x14ac:dyDescent="0.3">
      <c r="D1" t="s">
        <v>1</v>
      </c>
      <c r="E1" t="s">
        <v>2</v>
      </c>
      <c r="F1" t="s">
        <v>3</v>
      </c>
      <c r="G1" t="s">
        <v>7</v>
      </c>
      <c r="H1" t="s">
        <v>8</v>
      </c>
    </row>
    <row r="2" spans="4:13" x14ac:dyDescent="0.3">
      <c r="D2">
        <v>6.4066711516304053E-2</v>
      </c>
      <c r="F2">
        <f t="array" ref="F2:F24">FORECASTING(D2:D24,1,0,1)</f>
        <v>6.4066711516304053E-2</v>
      </c>
      <c r="H2">
        <f t="array" ref="H2:H24">FORECASTING(D2:D24,1,1,1)</f>
        <v>6.4066711516304053E-2</v>
      </c>
      <c r="J2" s="1" t="s">
        <v>4</v>
      </c>
      <c r="K2">
        <f t="array" ref="K2:K3">FORECASTING(D2:D24,1,0,3)</f>
        <v>5.7046513231498439E-2</v>
      </c>
    </row>
    <row r="3" spans="4:13" x14ac:dyDescent="0.3">
      <c r="D3">
        <v>0.65231841779401978</v>
      </c>
      <c r="F3">
        <v>0.65231841779401978</v>
      </c>
      <c r="H3">
        <v>0.58886305791170512</v>
      </c>
      <c r="J3" s="1" t="s">
        <v>6</v>
      </c>
      <c r="K3">
        <v>0.99999999920557303</v>
      </c>
    </row>
    <row r="4" spans="4:13" x14ac:dyDescent="0.3">
      <c r="D4">
        <v>-2.2580874709178334</v>
      </c>
      <c r="F4">
        <v>1.0409839072866807</v>
      </c>
      <c r="H4">
        <v>1.0554458560105278</v>
      </c>
      <c r="J4" s="1" t="s">
        <v>5</v>
      </c>
      <c r="K4">
        <f t="array" ref="K4">FORECASTING(D2:D24,1,0,2)</f>
        <v>47.043845786813087</v>
      </c>
    </row>
    <row r="5" spans="4:13" x14ac:dyDescent="0.3">
      <c r="D5">
        <v>0.27116874657258699</v>
      </c>
      <c r="F5">
        <v>1.3635621151883985</v>
      </c>
      <c r="H5">
        <v>1.4711030983556599</v>
      </c>
    </row>
    <row r="6" spans="4:13" x14ac:dyDescent="0.3">
      <c r="D6">
        <v>0.35337243182290767</v>
      </c>
      <c r="F6">
        <v>1.6101105619959317</v>
      </c>
      <c r="H6">
        <v>1.8411938452117647</v>
      </c>
      <c r="J6" s="1" t="s">
        <v>4</v>
      </c>
      <c r="K6">
        <f t="array" ref="K6:K8">FORECASTING(D2:D24,1,1,3)</f>
        <v>4.7547697966418632E-4</v>
      </c>
    </row>
    <row r="7" spans="4:13" x14ac:dyDescent="0.3">
      <c r="D7">
        <v>2.2489267872448542</v>
      </c>
      <c r="F7">
        <v>1.8790365178735666</v>
      </c>
      <c r="H7">
        <v>2.171380393315995</v>
      </c>
      <c r="J7" s="1" t="s">
        <v>6</v>
      </c>
      <c r="K7">
        <v>0.99999999999965095</v>
      </c>
    </row>
    <row r="8" spans="4:13" x14ac:dyDescent="0.3">
      <c r="D8">
        <v>3.2466672784814872</v>
      </c>
      <c r="F8">
        <v>2.2106397519149956</v>
      </c>
      <c r="H8">
        <v>2.46630363262762</v>
      </c>
      <c r="J8" s="1" t="s">
        <v>9</v>
      </c>
      <c r="K8">
        <v>0.89207758325156261</v>
      </c>
      <c r="M8">
        <v>1</v>
      </c>
    </row>
    <row r="9" spans="4:13" x14ac:dyDescent="0.3">
      <c r="D9">
        <v>5.5720743717561119</v>
      </c>
      <c r="F9">
        <v>2.7150843021487034</v>
      </c>
      <c r="H9">
        <v>2.7307496703523224</v>
      </c>
      <c r="J9" s="1" t="s">
        <v>5</v>
      </c>
      <c r="K9">
        <f t="array" ref="K9">FORECASTING(D6:D24,1,0,2)</f>
        <v>51.676110951601672</v>
      </c>
    </row>
    <row r="10" spans="4:13" x14ac:dyDescent="0.3">
      <c r="D10">
        <v>3.2316849661136042</v>
      </c>
      <c r="F10">
        <v>3.2202223161557448</v>
      </c>
      <c r="H10">
        <v>2.9667820677335537</v>
      </c>
    </row>
    <row r="11" spans="4:13" x14ac:dyDescent="0.3">
      <c r="D11">
        <v>0.82283701360842321</v>
      </c>
      <c r="F11">
        <v>3.5597814953797156</v>
      </c>
      <c r="H11">
        <v>3.1762217657820653</v>
      </c>
    </row>
    <row r="12" spans="4:13" x14ac:dyDescent="0.3">
      <c r="D12">
        <v>2.0846745509049418</v>
      </c>
      <c r="F12">
        <v>3.7958202996913903</v>
      </c>
      <c r="H12">
        <v>3.362450383445692</v>
      </c>
    </row>
    <row r="13" spans="4:13" x14ac:dyDescent="0.3">
      <c r="D13">
        <v>3.2773442385969185</v>
      </c>
      <c r="F13">
        <v>3.9888166618278591</v>
      </c>
      <c r="H13">
        <v>3.5284613014416157</v>
      </c>
    </row>
    <row r="14" spans="4:13" x14ac:dyDescent="0.3">
      <c r="D14">
        <v>3.2783565120714582</v>
      </c>
      <c r="F14">
        <v>4.1302739801367911</v>
      </c>
      <c r="H14">
        <v>3.6763665853090255</v>
      </c>
      <c r="L14">
        <v>1.3</v>
      </c>
    </row>
    <row r="15" spans="4:13" x14ac:dyDescent="0.3">
      <c r="D15">
        <v>4.0275804848332388</v>
      </c>
      <c r="F15">
        <v>4.2578033458651063</v>
      </c>
      <c r="H15">
        <v>3.8084138317622536</v>
      </c>
      <c r="L15">
        <v>1.4</v>
      </c>
    </row>
    <row r="16" spans="4:13" x14ac:dyDescent="0.3">
      <c r="D16">
        <v>5.3121934330372618</v>
      </c>
      <c r="F16">
        <v>4.4382068840134581</v>
      </c>
      <c r="H16">
        <v>3.9268692233651525</v>
      </c>
      <c r="L16">
        <v>1.5</v>
      </c>
    </row>
    <row r="17" spans="4:12" x14ac:dyDescent="0.3">
      <c r="D17">
        <v>1.7025984057464256</v>
      </c>
      <c r="F17">
        <v>4.4522621040445527</v>
      </c>
      <c r="H17">
        <v>4.0314327889412125</v>
      </c>
      <c r="L17">
        <v>1.6</v>
      </c>
    </row>
    <row r="18" spans="4:12" x14ac:dyDescent="0.3">
      <c r="D18">
        <v>3.6035590631383663</v>
      </c>
      <c r="F18">
        <v>4.4170999736521166</v>
      </c>
      <c r="H18">
        <v>4.1244638057814358</v>
      </c>
      <c r="L18">
        <v>1.7</v>
      </c>
    </row>
    <row r="19" spans="4:12" x14ac:dyDescent="0.3">
      <c r="D19">
        <v>5.1906367430811597</v>
      </c>
      <c r="F19">
        <v>4.4280712957855135</v>
      </c>
      <c r="H19">
        <v>4.207922170884542</v>
      </c>
      <c r="L19">
        <v>1.8</v>
      </c>
    </row>
    <row r="20" spans="4:12" x14ac:dyDescent="0.3">
      <c r="D20">
        <v>5.4119927185523125</v>
      </c>
      <c r="F20">
        <v>4.4945460286737218</v>
      </c>
      <c r="H20">
        <v>4.2829106154584755</v>
      </c>
      <c r="L20">
        <v>1.9</v>
      </c>
    </row>
    <row r="21" spans="4:12" x14ac:dyDescent="0.3">
      <c r="D21">
        <v>4.8067556539938927</v>
      </c>
      <c r="F21">
        <v>4.5750390803129131</v>
      </c>
      <c r="H21">
        <v>4.3500233948472768</v>
      </c>
      <c r="L21">
        <v>2</v>
      </c>
    </row>
    <row r="22" spans="4:12" x14ac:dyDescent="0.3">
      <c r="D22">
        <v>3.1389231791138248</v>
      </c>
      <c r="F22">
        <v>4.5690148792465042</v>
      </c>
      <c r="H22">
        <v>4.4092888839025361</v>
      </c>
      <c r="L22">
        <v>2.1</v>
      </c>
    </row>
    <row r="23" spans="4:12" x14ac:dyDescent="0.3">
      <c r="D23">
        <v>5.0226479241670781</v>
      </c>
      <c r="F23">
        <v>4.5892125214100563</v>
      </c>
      <c r="H23">
        <v>4.4624247980636857</v>
      </c>
      <c r="L23">
        <v>2.2000000000000002</v>
      </c>
    </row>
    <row r="24" spans="4:12" x14ac:dyDescent="0.3">
      <c r="D24">
        <v>3.6867848680985369</v>
      </c>
      <c r="F24">
        <v>4.5567776074279314</v>
      </c>
      <c r="H24">
        <v>4.5094348187667386</v>
      </c>
      <c r="L24">
        <v>2.2999999999999998</v>
      </c>
    </row>
    <row r="25" spans="4:12" x14ac:dyDescent="0.3">
      <c r="D25">
        <v>7.4922197695981865</v>
      </c>
      <c r="E25">
        <f t="array" ref="E25:E31">FORECASTING(D2:D24,1)</f>
        <v>4.5243426934876192</v>
      </c>
      <c r="G25">
        <f t="array" ref="G25:G31">FORECASTING(D2:D24,1,1)</f>
        <v>4.551371404424124</v>
      </c>
      <c r="L25">
        <v>2.4</v>
      </c>
    </row>
    <row r="26" spans="4:12" x14ac:dyDescent="0.3">
      <c r="D26">
        <v>6.618393728339349</v>
      </c>
      <c r="E26">
        <v>4.491907779547307</v>
      </c>
      <c r="G26">
        <v>4.5887820924071869</v>
      </c>
      <c r="L26">
        <v>2.5</v>
      </c>
    </row>
    <row r="27" spans="4:12" x14ac:dyDescent="0.3">
      <c r="D27">
        <v>8.5686579586822713</v>
      </c>
      <c r="E27">
        <v>4.4594728656069949</v>
      </c>
      <c r="G27">
        <v>4.6221553285308952</v>
      </c>
      <c r="L27">
        <v>2.6</v>
      </c>
    </row>
    <row r="28" spans="4:12" x14ac:dyDescent="0.3">
      <c r="D28">
        <v>4.1819492225695338</v>
      </c>
      <c r="E28">
        <v>4.4270379516666827</v>
      </c>
      <c r="G28">
        <v>4.6519268443574173</v>
      </c>
      <c r="L28">
        <v>2.7</v>
      </c>
    </row>
    <row r="29" spans="4:12" x14ac:dyDescent="0.3">
      <c r="D29">
        <v>9.5501600336995462</v>
      </c>
      <c r="E29">
        <v>4.3946030377263705</v>
      </c>
      <c r="G29">
        <v>4.6784853462456759</v>
      </c>
      <c r="L29">
        <v>2.8</v>
      </c>
    </row>
    <row r="30" spans="4:12" x14ac:dyDescent="0.3">
      <c r="D30">
        <v>11.557736636595884</v>
      </c>
      <c r="E30">
        <v>4.3621681237860583</v>
      </c>
      <c r="G30">
        <v>4.7021775904249363</v>
      </c>
      <c r="L30">
        <v>2.9</v>
      </c>
    </row>
    <row r="31" spans="4:12" x14ac:dyDescent="0.3">
      <c r="D31">
        <v>5.5752720404477039</v>
      </c>
      <c r="E31">
        <v>4.3297332098457462</v>
      </c>
      <c r="G31">
        <v>4.7233129103541769</v>
      </c>
      <c r="L31">
        <v>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88"/>
  <sheetViews>
    <sheetView topLeftCell="A4" workbookViewId="0">
      <selection activeCell="N22" sqref="N22"/>
    </sheetView>
  </sheetViews>
  <sheetFormatPr defaultRowHeight="14.4" x14ac:dyDescent="0.3"/>
  <cols>
    <col min="2" max="2" width="12" bestFit="1" customWidth="1"/>
    <col min="5" max="5" width="15.88671875" bestFit="1" customWidth="1"/>
  </cols>
  <sheetData>
    <row r="1" spans="1:8" x14ac:dyDescent="0.3">
      <c r="B1" t="s">
        <v>11</v>
      </c>
      <c r="C1" s="2" t="s">
        <v>0</v>
      </c>
    </row>
    <row r="4" spans="1:8" x14ac:dyDescent="0.3">
      <c r="A4" t="s">
        <v>1</v>
      </c>
      <c r="B4" t="s">
        <v>2</v>
      </c>
      <c r="C4" t="s">
        <v>3</v>
      </c>
      <c r="D4" t="s">
        <v>7</v>
      </c>
      <c r="E4" t="s">
        <v>8</v>
      </c>
    </row>
    <row r="5" spans="1:8" x14ac:dyDescent="0.3">
      <c r="A5">
        <v>0.71</v>
      </c>
      <c r="C5">
        <f t="array" ref="C5:C76">FORECASTING(A5:A76,4,0,1)</f>
        <v>0.60769436664723964</v>
      </c>
      <c r="E5">
        <f t="array" ref="E5:E76">FORECASTING(A5:A76,4,1,1)</f>
        <v>0.60769436664723964</v>
      </c>
      <c r="G5" s="1" t="s">
        <v>4</v>
      </c>
      <c r="H5">
        <f t="array" ref="H5:H7">FORECASTING(A5:A76,4,0,3)</f>
        <v>0.46257015465625045</v>
      </c>
    </row>
    <row r="6" spans="1:8" x14ac:dyDescent="0.3">
      <c r="A6">
        <v>0.63</v>
      </c>
      <c r="C6">
        <v>0.66402599540300178</v>
      </c>
      <c r="E6">
        <v>0.66402599540300178</v>
      </c>
      <c r="G6" s="1" t="s">
        <v>6</v>
      </c>
      <c r="H6">
        <v>0.5</v>
      </c>
    </row>
    <row r="7" spans="1:8" x14ac:dyDescent="0.3">
      <c r="A7">
        <v>0.85</v>
      </c>
      <c r="C7">
        <v>0.74797267354658292</v>
      </c>
      <c r="E7">
        <v>0.74797267354658292</v>
      </c>
      <c r="G7" s="1" t="s">
        <v>10</v>
      </c>
      <c r="H7">
        <v>0.70056714247397289</v>
      </c>
    </row>
    <row r="8" spans="1:8" x14ac:dyDescent="0.3">
      <c r="A8">
        <v>0.44</v>
      </c>
      <c r="C8">
        <v>0.61030696440317589</v>
      </c>
      <c r="E8">
        <v>0.61030696440317589</v>
      </c>
      <c r="G8" s="1" t="s">
        <v>5</v>
      </c>
      <c r="H8">
        <f t="array" ref="H8">FORECASTING(A5:A76,4,0,2)</f>
        <v>9.2395258134515021</v>
      </c>
    </row>
    <row r="9" spans="1:8" x14ac:dyDescent="0.3">
      <c r="A9">
        <v>0.61</v>
      </c>
      <c r="C9">
        <v>0.69471743572711153</v>
      </c>
      <c r="E9">
        <v>0.67741969517608613</v>
      </c>
    </row>
    <row r="10" spans="1:8" x14ac:dyDescent="0.3">
      <c r="A10">
        <v>0.69</v>
      </c>
      <c r="C10">
        <v>0.80754149873345027</v>
      </c>
      <c r="E10">
        <v>0.78657009774848397</v>
      </c>
      <c r="G10" s="1" t="s">
        <v>4</v>
      </c>
      <c r="H10">
        <f t="array" ref="H10:H13">FORECASTING(A5:A76,4,1,3)</f>
        <v>0.46257015465625045</v>
      </c>
    </row>
    <row r="11" spans="1:8" x14ac:dyDescent="0.3">
      <c r="A11">
        <v>0.92</v>
      </c>
      <c r="C11">
        <v>1.0181720017113665</v>
      </c>
      <c r="E11">
        <v>1.0073674773451464</v>
      </c>
      <c r="G11" s="1" t="s">
        <v>6</v>
      </c>
      <c r="H11">
        <v>0.41338242108266998</v>
      </c>
    </row>
    <row r="12" spans="1:8" x14ac:dyDescent="0.3">
      <c r="A12">
        <v>0.55000000000000004</v>
      </c>
      <c r="C12">
        <v>0.64760608128463615</v>
      </c>
      <c r="E12">
        <v>0.63772267051925136</v>
      </c>
      <c r="G12" s="1" t="s">
        <v>10</v>
      </c>
      <c r="H12">
        <v>0.76852478349901765</v>
      </c>
    </row>
    <row r="13" spans="1:8" x14ac:dyDescent="0.3">
      <c r="A13">
        <v>0.72</v>
      </c>
      <c r="C13">
        <v>0.71309749206888318</v>
      </c>
      <c r="E13">
        <v>0.72266450748525435</v>
      </c>
      <c r="G13" s="1" t="s">
        <v>9</v>
      </c>
      <c r="H13">
        <v>0.99999999999994327</v>
      </c>
    </row>
    <row r="14" spans="1:8" x14ac:dyDescent="0.3">
      <c r="A14">
        <v>0.77</v>
      </c>
      <c r="C14">
        <v>0.7650104691658256</v>
      </c>
      <c r="E14">
        <v>0.77359887837891106</v>
      </c>
      <c r="G14" s="1" t="s">
        <v>5</v>
      </c>
      <c r="H14">
        <f t="array" ref="H14">FORECASTING(A5:A76,4,1,2)</f>
        <v>9.1834765445805875</v>
      </c>
    </row>
    <row r="15" spans="1:8" x14ac:dyDescent="0.3">
      <c r="A15">
        <v>0.92</v>
      </c>
      <c r="C15">
        <v>0.92448547761293776</v>
      </c>
      <c r="E15">
        <v>0.93166236002032687</v>
      </c>
    </row>
    <row r="16" spans="1:8" x14ac:dyDescent="0.3">
      <c r="A16">
        <v>0.6</v>
      </c>
      <c r="C16">
        <v>0.61626063287109856</v>
      </c>
      <c r="E16">
        <v>0.61502699166692232</v>
      </c>
    </row>
    <row r="17" spans="1:5" x14ac:dyDescent="0.3">
      <c r="A17">
        <v>0.83</v>
      </c>
      <c r="C17">
        <v>0.80698238583580828</v>
      </c>
      <c r="E17">
        <v>0.81551955268083132</v>
      </c>
    </row>
    <row r="18" spans="1:5" x14ac:dyDescent="0.3">
      <c r="A18">
        <v>0.8</v>
      </c>
      <c r="C18">
        <v>0.8003838073361782</v>
      </c>
      <c r="E18">
        <v>0.80129288993951953</v>
      </c>
    </row>
    <row r="19" spans="1:5" x14ac:dyDescent="0.3">
      <c r="A19">
        <v>1</v>
      </c>
      <c r="C19">
        <v>0.99738046348924225</v>
      </c>
      <c r="E19">
        <v>0.99861351366483542</v>
      </c>
    </row>
    <row r="20" spans="1:5" x14ac:dyDescent="0.3">
      <c r="A20">
        <v>0.77</v>
      </c>
      <c r="C20">
        <v>0.76139659694869843</v>
      </c>
      <c r="E20">
        <v>0.76223948753151949</v>
      </c>
    </row>
    <row r="21" spans="1:5" x14ac:dyDescent="0.3">
      <c r="A21">
        <v>0.92</v>
      </c>
      <c r="C21">
        <v>0.92350149567626838</v>
      </c>
      <c r="E21">
        <v>0.92333013731132685</v>
      </c>
    </row>
    <row r="22" spans="1:5" x14ac:dyDescent="0.3">
      <c r="A22">
        <v>1</v>
      </c>
      <c r="C22">
        <v>0.98949134791749438</v>
      </c>
      <c r="E22">
        <v>0.99125491225815043</v>
      </c>
    </row>
    <row r="23" spans="1:5" x14ac:dyDescent="0.3">
      <c r="A23">
        <v>1.24</v>
      </c>
      <c r="C23">
        <v>1.2371721864108389</v>
      </c>
      <c r="E23">
        <v>1.2372899141425426</v>
      </c>
    </row>
    <row r="24" spans="1:5" x14ac:dyDescent="0.3">
      <c r="A24">
        <v>1</v>
      </c>
      <c r="C24">
        <v>0.98843486802067171</v>
      </c>
      <c r="E24">
        <v>0.98999114546110101</v>
      </c>
    </row>
    <row r="25" spans="1:5" x14ac:dyDescent="0.3">
      <c r="A25">
        <v>1.1599999999999999</v>
      </c>
      <c r="C25">
        <v>1.1668109554141961</v>
      </c>
      <c r="E25">
        <v>1.1644528555757012</v>
      </c>
    </row>
    <row r="26" spans="1:5" x14ac:dyDescent="0.3">
      <c r="A26">
        <v>1.3</v>
      </c>
      <c r="C26">
        <v>1.2915095857204535</v>
      </c>
      <c r="E26">
        <v>1.2929860298115803</v>
      </c>
    </row>
    <row r="27" spans="1:5" x14ac:dyDescent="0.3">
      <c r="A27">
        <v>1.45</v>
      </c>
      <c r="C27">
        <v>1.4730823536411219</v>
      </c>
      <c r="E27">
        <v>1.4671252530558792</v>
      </c>
    </row>
    <row r="28" spans="1:5" x14ac:dyDescent="0.3">
      <c r="A28">
        <v>1.25</v>
      </c>
      <c r="C28">
        <v>1.2358670638302518</v>
      </c>
      <c r="E28">
        <v>1.239091127478297</v>
      </c>
    </row>
    <row r="29" spans="1:5" x14ac:dyDescent="0.3">
      <c r="A29">
        <v>1.26</v>
      </c>
      <c r="C29">
        <v>1.2867090487615027</v>
      </c>
      <c r="E29">
        <v>1.2801185394121555</v>
      </c>
    </row>
    <row r="30" spans="1:5" x14ac:dyDescent="0.3">
      <c r="A30">
        <v>1.38</v>
      </c>
      <c r="C30">
        <v>1.3869249257768548</v>
      </c>
      <c r="E30">
        <v>1.3863913494869051</v>
      </c>
    </row>
    <row r="31" spans="1:5" x14ac:dyDescent="0.3">
      <c r="A31">
        <v>1.86</v>
      </c>
      <c r="C31">
        <v>1.8184072845498545</v>
      </c>
      <c r="E31">
        <v>1.8284727613478813</v>
      </c>
    </row>
    <row r="32" spans="1:5" x14ac:dyDescent="0.3">
      <c r="A32">
        <v>1.56</v>
      </c>
      <c r="C32">
        <v>1.5362367930763654</v>
      </c>
      <c r="E32">
        <v>1.5423107521472175</v>
      </c>
    </row>
    <row r="33" spans="1:5" x14ac:dyDescent="0.3">
      <c r="A33">
        <v>1.53</v>
      </c>
      <c r="C33">
        <v>1.5502100637052298</v>
      </c>
      <c r="E33">
        <v>1.5430722991705297</v>
      </c>
    </row>
    <row r="34" spans="1:5" x14ac:dyDescent="0.3">
      <c r="A34">
        <v>1.59</v>
      </c>
      <c r="C34">
        <v>1.6220340936409514</v>
      </c>
      <c r="E34">
        <v>1.613690268845674</v>
      </c>
    </row>
    <row r="35" spans="1:5" x14ac:dyDescent="0.3">
      <c r="A35">
        <v>1.83</v>
      </c>
      <c r="C35">
        <v>1.8704719560975676</v>
      </c>
      <c r="E35">
        <v>1.8625212715435768</v>
      </c>
    </row>
    <row r="36" spans="1:5" x14ac:dyDescent="0.3">
      <c r="A36">
        <v>1.86</v>
      </c>
      <c r="C36">
        <v>1.801679765037318</v>
      </c>
      <c r="E36">
        <v>1.8176050496373988</v>
      </c>
    </row>
    <row r="37" spans="1:5" x14ac:dyDescent="0.3">
      <c r="A37">
        <v>1.53</v>
      </c>
      <c r="C37">
        <v>1.5575884684588377</v>
      </c>
      <c r="E37">
        <v>1.5504821190068059</v>
      </c>
    </row>
    <row r="38" spans="1:5" x14ac:dyDescent="0.3">
      <c r="A38">
        <v>2.0699999999999998</v>
      </c>
      <c r="C38">
        <v>2.0169676316398433</v>
      </c>
      <c r="E38">
        <v>2.0285067573906441</v>
      </c>
    </row>
    <row r="39" spans="1:5" x14ac:dyDescent="0.3">
      <c r="A39">
        <v>2.34</v>
      </c>
      <c r="C39">
        <v>2.3488869332198652</v>
      </c>
      <c r="E39">
        <v>2.3446671537974875</v>
      </c>
    </row>
    <row r="40" spans="1:5" x14ac:dyDescent="0.3">
      <c r="A40">
        <v>2.25</v>
      </c>
      <c r="C40">
        <v>2.2374890926584858</v>
      </c>
      <c r="E40">
        <v>2.2417440590401063</v>
      </c>
    </row>
    <row r="41" spans="1:5" x14ac:dyDescent="0.3">
      <c r="A41">
        <v>2.16</v>
      </c>
      <c r="C41">
        <v>2.1382377967240624</v>
      </c>
      <c r="E41">
        <v>2.13984904371405</v>
      </c>
    </row>
    <row r="42" spans="1:5" x14ac:dyDescent="0.3">
      <c r="A42">
        <v>2.4300000000000002</v>
      </c>
      <c r="C42">
        <v>2.457174679350512</v>
      </c>
      <c r="E42">
        <v>2.4499317517776347</v>
      </c>
    </row>
    <row r="43" spans="1:5" x14ac:dyDescent="0.3">
      <c r="A43">
        <v>2.7</v>
      </c>
      <c r="C43">
        <v>2.7387002489882457</v>
      </c>
      <c r="E43">
        <v>2.7268290249383438</v>
      </c>
    </row>
    <row r="44" spans="1:5" x14ac:dyDescent="0.3">
      <c r="A44">
        <v>2.25</v>
      </c>
      <c r="C44">
        <v>2.3057352099299329</v>
      </c>
      <c r="E44">
        <v>2.2956537376191668</v>
      </c>
    </row>
    <row r="45" spans="1:5" x14ac:dyDescent="0.3">
      <c r="A45">
        <v>2.79</v>
      </c>
      <c r="C45">
        <v>2.684200285463135</v>
      </c>
      <c r="E45">
        <v>2.7108450053484998</v>
      </c>
    </row>
    <row r="46" spans="1:5" x14ac:dyDescent="0.3">
      <c r="A46">
        <v>3.42</v>
      </c>
      <c r="C46">
        <v>3.3314178093237943</v>
      </c>
      <c r="E46">
        <v>3.3510249085504746</v>
      </c>
    </row>
    <row r="47" spans="1:5" x14ac:dyDescent="0.3">
      <c r="A47">
        <v>3.69</v>
      </c>
      <c r="C47">
        <v>3.703172572868922</v>
      </c>
      <c r="E47">
        <v>3.6930296509944172</v>
      </c>
    </row>
    <row r="48" spans="1:5" x14ac:dyDescent="0.3">
      <c r="A48">
        <v>3.6</v>
      </c>
      <c r="C48">
        <v>3.5873327948829337</v>
      </c>
      <c r="E48">
        <v>3.5837789585550666</v>
      </c>
    </row>
    <row r="49" spans="1:5" x14ac:dyDescent="0.3">
      <c r="A49">
        <v>3.6</v>
      </c>
      <c r="C49">
        <v>3.6524992298046852</v>
      </c>
      <c r="E49">
        <v>3.6403891012232088</v>
      </c>
    </row>
    <row r="50" spans="1:5" x14ac:dyDescent="0.3">
      <c r="A50">
        <v>4.32</v>
      </c>
      <c r="C50">
        <v>4.315454643985599</v>
      </c>
      <c r="E50">
        <v>4.3165483400704749</v>
      </c>
    </row>
    <row r="51" spans="1:5" x14ac:dyDescent="0.3">
      <c r="A51">
        <v>4.32</v>
      </c>
      <c r="C51">
        <v>4.3758960947013437</v>
      </c>
      <c r="E51">
        <v>4.3600074264962076</v>
      </c>
    </row>
    <row r="52" spans="1:5" x14ac:dyDescent="0.3">
      <c r="A52">
        <v>4.05</v>
      </c>
      <c r="C52">
        <v>4.064972603405681</v>
      </c>
      <c r="E52">
        <v>4.0622064406944638</v>
      </c>
    </row>
    <row r="53" spans="1:5" x14ac:dyDescent="0.3">
      <c r="A53">
        <v>4.8600000000000003</v>
      </c>
      <c r="C53">
        <v>4.744737647427697</v>
      </c>
      <c r="E53">
        <v>4.7739489308268466</v>
      </c>
    </row>
    <row r="54" spans="1:5" x14ac:dyDescent="0.3">
      <c r="A54">
        <v>5.04</v>
      </c>
      <c r="C54">
        <v>5.0834899850332551</v>
      </c>
      <c r="E54">
        <v>5.0756100991844928</v>
      </c>
    </row>
    <row r="55" spans="1:5" x14ac:dyDescent="0.3">
      <c r="A55">
        <v>5.04</v>
      </c>
      <c r="C55">
        <v>5.101042699016423</v>
      </c>
      <c r="E55">
        <v>5.0830326331443816</v>
      </c>
    </row>
    <row r="56" spans="1:5" x14ac:dyDescent="0.3">
      <c r="A56">
        <v>4.41</v>
      </c>
      <c r="C56">
        <v>4.4896098223234979</v>
      </c>
      <c r="E56">
        <v>4.4706962123866347</v>
      </c>
    </row>
    <row r="57" spans="1:5" x14ac:dyDescent="0.3">
      <c r="A57">
        <v>5.58</v>
      </c>
      <c r="C57">
        <v>5.4782477743843483</v>
      </c>
      <c r="E57">
        <v>5.5084543029369666</v>
      </c>
    </row>
    <row r="58" spans="1:5" x14ac:dyDescent="0.3">
      <c r="A58">
        <v>5.85</v>
      </c>
      <c r="C58">
        <v>5.8092499814678256</v>
      </c>
      <c r="E58">
        <v>5.8200914010665423</v>
      </c>
    </row>
    <row r="59" spans="1:5" x14ac:dyDescent="0.3">
      <c r="A59">
        <v>6.57</v>
      </c>
      <c r="C59">
        <v>6.4612724847194798</v>
      </c>
      <c r="E59">
        <v>6.4825966463935316</v>
      </c>
    </row>
    <row r="60" spans="1:5" x14ac:dyDescent="0.3">
      <c r="A60">
        <v>5.31</v>
      </c>
      <c r="C60">
        <v>5.4073534537896997</v>
      </c>
      <c r="E60">
        <v>5.376821072872298</v>
      </c>
    </row>
    <row r="61" spans="1:5" x14ac:dyDescent="0.3">
      <c r="A61">
        <v>6.03</v>
      </c>
      <c r="C61">
        <v>6.1370039651635162</v>
      </c>
      <c r="E61">
        <v>6.1150212613252366</v>
      </c>
    </row>
    <row r="62" spans="1:5" x14ac:dyDescent="0.3">
      <c r="A62">
        <v>6.39</v>
      </c>
      <c r="C62">
        <v>6.4089769552874305</v>
      </c>
      <c r="E62">
        <v>6.4078295286397013</v>
      </c>
    </row>
    <row r="63" spans="1:5" x14ac:dyDescent="0.3">
      <c r="A63">
        <v>6.93</v>
      </c>
      <c r="C63">
        <v>6.8775730422195913</v>
      </c>
      <c r="E63">
        <v>6.8961904125800766</v>
      </c>
    </row>
    <row r="64" spans="1:5" x14ac:dyDescent="0.3">
      <c r="A64">
        <v>5.85</v>
      </c>
      <c r="C64">
        <v>5.8249492404520318</v>
      </c>
      <c r="E64">
        <v>5.8281638149785433</v>
      </c>
    </row>
    <row r="65" spans="1:5" x14ac:dyDescent="0.3">
      <c r="A65">
        <v>6.93</v>
      </c>
      <c r="C65">
        <v>6.9062246623662897</v>
      </c>
      <c r="E65">
        <v>6.9124177742185626</v>
      </c>
    </row>
    <row r="66" spans="1:5" x14ac:dyDescent="0.3">
      <c r="A66">
        <v>7.74</v>
      </c>
      <c r="C66">
        <v>7.6738035602055428</v>
      </c>
      <c r="E66">
        <v>7.6893565255286926</v>
      </c>
    </row>
    <row r="67" spans="1:5" x14ac:dyDescent="0.3">
      <c r="A67">
        <v>7.83</v>
      </c>
      <c r="C67">
        <v>7.8787801380644149</v>
      </c>
      <c r="E67">
        <v>7.8675872709714252</v>
      </c>
    </row>
    <row r="68" spans="1:5" x14ac:dyDescent="0.3">
      <c r="A68">
        <v>6.12</v>
      </c>
      <c r="C68">
        <v>6.2222571544582124</v>
      </c>
      <c r="E68">
        <v>6.1942068351726949</v>
      </c>
    </row>
    <row r="69" spans="1:5" x14ac:dyDescent="0.3">
      <c r="A69">
        <v>7.74</v>
      </c>
      <c r="C69">
        <v>7.6946483605326277</v>
      </c>
      <c r="E69">
        <v>7.7058512313470438</v>
      </c>
    </row>
    <row r="70" spans="1:5" x14ac:dyDescent="0.3">
      <c r="A70">
        <v>8.91</v>
      </c>
      <c r="C70">
        <v>8.7823140246896418</v>
      </c>
      <c r="E70">
        <v>8.8159111525653469</v>
      </c>
    </row>
    <row r="71" spans="1:5" x14ac:dyDescent="0.3">
      <c r="A71">
        <v>8.2799999999999994</v>
      </c>
      <c r="C71">
        <v>8.3693995636959961</v>
      </c>
      <c r="E71">
        <v>8.3480448042152773</v>
      </c>
    </row>
    <row r="72" spans="1:5" x14ac:dyDescent="0.3">
      <c r="A72">
        <v>6.84</v>
      </c>
      <c r="C72">
        <v>6.8694288351415951</v>
      </c>
      <c r="E72">
        <v>6.8585191830459697</v>
      </c>
    </row>
    <row r="73" spans="1:5" x14ac:dyDescent="0.3">
      <c r="A73">
        <v>9.5399999999999991</v>
      </c>
      <c r="C73">
        <v>9.3714867583433978</v>
      </c>
      <c r="E73">
        <v>9.4119724937637237</v>
      </c>
    </row>
    <row r="74" spans="1:5" x14ac:dyDescent="0.3">
      <c r="A74">
        <v>10.26</v>
      </c>
      <c r="C74">
        <v>10.224651870826623</v>
      </c>
      <c r="E74">
        <v>10.233580449727954</v>
      </c>
    </row>
    <row r="75" spans="1:5" x14ac:dyDescent="0.3">
      <c r="A75">
        <v>9.5399999999999991</v>
      </c>
      <c r="C75">
        <v>9.6174659618939486</v>
      </c>
      <c r="E75">
        <v>9.5906481073404706</v>
      </c>
    </row>
    <row r="76" spans="1:5" x14ac:dyDescent="0.3">
      <c r="A76">
        <v>8.73</v>
      </c>
      <c r="C76">
        <v>8.6478337179774876</v>
      </c>
      <c r="E76">
        <v>8.6605803674631847</v>
      </c>
    </row>
    <row r="77" spans="1:5" x14ac:dyDescent="0.3">
      <c r="A77">
        <v>11.88</v>
      </c>
      <c r="B77">
        <f t="array" ref="B77:B88">FORECASTING(A5:A76,4)</f>
        <v>11.216054581060202</v>
      </c>
      <c r="D77">
        <f t="array" ref="D77:D88">FORECASTING(A5:A76,4,1)</f>
        <v>11.219309629688711</v>
      </c>
    </row>
    <row r="78" spans="1:5" x14ac:dyDescent="0.3">
      <c r="A78">
        <v>12.06</v>
      </c>
      <c r="B78">
        <v>12.120313171997969</v>
      </c>
      <c r="D78">
        <v>12.105337223119593</v>
      </c>
    </row>
    <row r="79" spans="1:5" x14ac:dyDescent="0.3">
      <c r="A79">
        <v>12.15</v>
      </c>
      <c r="B79">
        <v>11.613450702569487</v>
      </c>
      <c r="D79">
        <v>11.545233655285328</v>
      </c>
    </row>
    <row r="80" spans="1:5" x14ac:dyDescent="0.3">
      <c r="A80">
        <v>8.91</v>
      </c>
      <c r="B80">
        <v>10.215408369782176</v>
      </c>
      <c r="D80">
        <v>10.161860800522771</v>
      </c>
    </row>
    <row r="81" spans="1:4" x14ac:dyDescent="0.3">
      <c r="A81">
        <v>14.04</v>
      </c>
      <c r="B81">
        <v>13.161025055681044</v>
      </c>
      <c r="D81">
        <v>13.083355173874546</v>
      </c>
    </row>
    <row r="82" spans="1:4" x14ac:dyDescent="0.3">
      <c r="A82">
        <v>12.96</v>
      </c>
      <c r="B82">
        <v>14.134759640104027</v>
      </c>
      <c r="D82">
        <v>14.036383865418623</v>
      </c>
    </row>
    <row r="83" spans="1:4" x14ac:dyDescent="0.3">
      <c r="A83">
        <v>14.85</v>
      </c>
      <c r="B83">
        <v>13.466652075462232</v>
      </c>
      <c r="D83">
        <v>13.31630209783415</v>
      </c>
    </row>
    <row r="84" spans="1:4" x14ac:dyDescent="0.3">
      <c r="A84">
        <v>9.99</v>
      </c>
      <c r="B84">
        <v>11.782983021586867</v>
      </c>
      <c r="D84">
        <v>11.663141233582014</v>
      </c>
    </row>
    <row r="85" spans="1:4" x14ac:dyDescent="0.3">
      <c r="A85">
        <v>16.2</v>
      </c>
      <c r="B85">
        <v>15.105995530301884</v>
      </c>
      <c r="D85">
        <v>14.94740071805996</v>
      </c>
    </row>
    <row r="86" spans="1:4" x14ac:dyDescent="0.3">
      <c r="A86">
        <v>14.67</v>
      </c>
      <c r="B86">
        <v>16.149206108210088</v>
      </c>
      <c r="D86">
        <v>15.967430507717213</v>
      </c>
    </row>
    <row r="87" spans="1:4" x14ac:dyDescent="0.3">
      <c r="A87">
        <v>16.02</v>
      </c>
      <c r="B87">
        <v>15.31985344835498</v>
      </c>
      <c r="D87">
        <v>15.087370540382574</v>
      </c>
    </row>
    <row r="88" spans="1:4" x14ac:dyDescent="0.3">
      <c r="A88">
        <v>11.61</v>
      </c>
      <c r="B88">
        <v>13.350557673391556</v>
      </c>
      <c r="D88">
        <v>13.164421666640916</v>
      </c>
    </row>
  </sheetData>
  <hyperlinks>
    <hyperlink ref="C1" r:id="rId1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88"/>
  <sheetViews>
    <sheetView zoomScaleNormal="100" workbookViewId="0">
      <selection activeCell="K9" sqref="K9:K10"/>
    </sheetView>
  </sheetViews>
  <sheetFormatPr defaultRowHeight="14.4" x14ac:dyDescent="0.3"/>
  <cols>
    <col min="2" max="2" width="12" bestFit="1" customWidth="1"/>
    <col min="5" max="5" width="15.88671875" bestFit="1" customWidth="1"/>
  </cols>
  <sheetData>
    <row r="1" spans="1:8" x14ac:dyDescent="0.3">
      <c r="B1" t="s">
        <v>11</v>
      </c>
      <c r="C1" s="2" t="s">
        <v>0</v>
      </c>
    </row>
    <row r="4" spans="1:8" x14ac:dyDescent="0.3">
      <c r="A4" t="s">
        <v>1</v>
      </c>
      <c r="B4" t="s">
        <v>2</v>
      </c>
      <c r="C4" t="s">
        <v>3</v>
      </c>
      <c r="D4" t="s">
        <v>7</v>
      </c>
      <c r="E4" t="s">
        <v>8</v>
      </c>
    </row>
    <row r="5" spans="1:8" x14ac:dyDescent="0.3">
      <c r="A5">
        <v>-0.34249030894677601</v>
      </c>
      <c r="C5">
        <f t="array" ref="C5:C76">FORECASTING(A5:A76,-4,0,1)</f>
        <v>-0.52195446979294602</v>
      </c>
      <c r="E5">
        <f t="array" ref="E5:E76">FORECASTING(A5:A76,-4,1,1)</f>
        <v>-0.52195446979294602</v>
      </c>
      <c r="G5" s="1" t="s">
        <v>4</v>
      </c>
      <c r="H5">
        <f t="array" ref="H5:H7">FORECASTING(A5:A76,-4,0,3)</f>
        <v>0.2689414213699951</v>
      </c>
    </row>
    <row r="6" spans="1:8" x14ac:dyDescent="0.3">
      <c r="A6">
        <v>-0.46203545959655867</v>
      </c>
      <c r="C6">
        <v>-0.43126320670347468</v>
      </c>
      <c r="E6">
        <v>-0.43126320670347468</v>
      </c>
      <c r="G6" s="1" t="s">
        <v>6</v>
      </c>
      <c r="H6">
        <v>0.11920292202211755</v>
      </c>
    </row>
    <row r="7" spans="1:8" x14ac:dyDescent="0.3">
      <c r="A7">
        <v>-0.16251892949777494</v>
      </c>
      <c r="C7">
        <v>-0.3135783413898327</v>
      </c>
      <c r="E7">
        <v>-0.3135783413898327</v>
      </c>
      <c r="G7" s="1" t="s">
        <v>10</v>
      </c>
      <c r="H7">
        <v>0.62245933120185459</v>
      </c>
    </row>
    <row r="8" spans="1:8" x14ac:dyDescent="0.3">
      <c r="A8">
        <v>-0.82098055206983023</v>
      </c>
      <c r="C8">
        <v>-0.52122923222468631</v>
      </c>
      <c r="E8">
        <v>-0.52122923222468631</v>
      </c>
      <c r="G8" s="1" t="s">
        <v>5</v>
      </c>
      <c r="H8">
        <f t="array" ref="H8">FORECASTING(A5:A76,-4,0,2)</f>
        <v>0.63056160312944221</v>
      </c>
    </row>
    <row r="9" spans="1:8" x14ac:dyDescent="0.3">
      <c r="A9">
        <v>-0.49429632181478012</v>
      </c>
      <c r="C9">
        <v>-0.49174193402431582</v>
      </c>
      <c r="E9">
        <v>-0.49181207160316132</v>
      </c>
    </row>
    <row r="10" spans="1:8" x14ac:dyDescent="0.3">
      <c r="A10">
        <v>-0.37106368139083207</v>
      </c>
      <c r="C10">
        <v>-0.36807156911633959</v>
      </c>
      <c r="E10">
        <v>-0.36819628186177145</v>
      </c>
      <c r="G10" s="1" t="s">
        <v>4</v>
      </c>
      <c r="H10">
        <f t="array" ref="H10:H13">FORECASTING(A5:A76,-4,1,3)</f>
        <v>0.2689414213699951</v>
      </c>
    </row>
    <row r="11" spans="1:8" x14ac:dyDescent="0.3">
      <c r="A11">
        <v>-8.3381608939051013E-2</v>
      </c>
      <c r="C11">
        <v>-0.11810382359687172</v>
      </c>
      <c r="E11">
        <v>-0.1182699309888412</v>
      </c>
      <c r="G11" s="1" t="s">
        <v>6</v>
      </c>
      <c r="H11">
        <v>0.11920292202211755</v>
      </c>
    </row>
    <row r="12" spans="1:8" x14ac:dyDescent="0.3">
      <c r="A12">
        <v>-0.59783700075562041</v>
      </c>
      <c r="C12">
        <v>-0.52741810894523922</v>
      </c>
      <c r="E12">
        <v>-0.52761526342616416</v>
      </c>
      <c r="G12" s="1" t="s">
        <v>10</v>
      </c>
      <c r="H12">
        <v>0.62245933120185459</v>
      </c>
    </row>
    <row r="13" spans="1:8" x14ac:dyDescent="0.3">
      <c r="A13">
        <v>-0.3285040669720361</v>
      </c>
      <c r="C13">
        <v>-0.34385738746964911</v>
      </c>
      <c r="E13">
        <v>-0.3440438648413548</v>
      </c>
      <c r="G13" s="1" t="s">
        <v>9</v>
      </c>
      <c r="H13">
        <v>0.9994472213630764</v>
      </c>
    </row>
    <row r="14" spans="1:8" x14ac:dyDescent="0.3">
      <c r="A14">
        <v>-0.26136476413440751</v>
      </c>
      <c r="C14">
        <v>-0.2569295216651124</v>
      </c>
      <c r="E14">
        <v>-0.25711443222927255</v>
      </c>
      <c r="G14" s="1" t="s">
        <v>5</v>
      </c>
      <c r="H14">
        <f t="array" ref="H14">FORECASTING(A5:A76,-4,1,2)</f>
        <v>0.63278188825469139</v>
      </c>
    </row>
    <row r="15" spans="1:8" x14ac:dyDescent="0.3">
      <c r="A15">
        <v>-8.3381608939051013E-2</v>
      </c>
      <c r="C15">
        <v>-7.040373624453844E-2</v>
      </c>
      <c r="E15">
        <v>-7.0592628344763236E-2</v>
      </c>
    </row>
    <row r="16" spans="1:8" x14ac:dyDescent="0.3">
      <c r="A16">
        <v>-0.51082562376599072</v>
      </c>
      <c r="C16">
        <v>-0.47971916309708851</v>
      </c>
      <c r="E16">
        <v>-0.47991444667056871</v>
      </c>
    </row>
    <row r="17" spans="1:15" x14ac:dyDescent="0.3">
      <c r="A17">
        <v>-0.18632957819149348</v>
      </c>
      <c r="C17">
        <v>-0.20768010270205689</v>
      </c>
      <c r="E17">
        <v>-0.20786514586807414</v>
      </c>
    </row>
    <row r="18" spans="1:15" x14ac:dyDescent="0.3">
      <c r="A18">
        <v>-0.22314355131420971</v>
      </c>
      <c r="C18">
        <v>-0.20427693167402214</v>
      </c>
      <c r="E18">
        <v>-0.20445614881022131</v>
      </c>
    </row>
    <row r="19" spans="1:15" x14ac:dyDescent="0.3">
      <c r="A19">
        <v>0</v>
      </c>
      <c r="C19">
        <v>5.8425775530972224E-3</v>
      </c>
      <c r="E19">
        <v>5.6655692489989973E-3</v>
      </c>
    </row>
    <row r="20" spans="1:15" x14ac:dyDescent="0.3">
      <c r="A20">
        <v>-0.26136476413440751</v>
      </c>
      <c r="C20">
        <v>-0.29066761169636235</v>
      </c>
      <c r="E20">
        <v>-0.29084516256658766</v>
      </c>
    </row>
    <row r="21" spans="1:15" x14ac:dyDescent="0.3">
      <c r="A21">
        <v>-8.3381608939051013E-2</v>
      </c>
      <c r="C21">
        <v>-8.3754174946066962E-2</v>
      </c>
      <c r="E21">
        <v>-8.3925809251198635E-2</v>
      </c>
    </row>
    <row r="22" spans="1:15" x14ac:dyDescent="0.3">
      <c r="A22">
        <v>0</v>
      </c>
      <c r="C22">
        <v>-1.7113538458751673E-2</v>
      </c>
      <c r="E22">
        <v>-1.7281019396500199E-2</v>
      </c>
    </row>
    <row r="23" spans="1:15" x14ac:dyDescent="0.3">
      <c r="A23">
        <v>0.21511137961694549</v>
      </c>
      <c r="C23">
        <v>0.20410659728679056</v>
      </c>
      <c r="E23">
        <v>0.20394064419214869</v>
      </c>
    </row>
    <row r="24" spans="1:15" x14ac:dyDescent="0.3">
      <c r="A24">
        <v>0</v>
      </c>
      <c r="C24">
        <v>-3.6539528712581079E-2</v>
      </c>
      <c r="E24">
        <v>-3.6706650504132118E-2</v>
      </c>
    </row>
    <row r="25" spans="1:15" x14ac:dyDescent="0.3">
      <c r="A25">
        <v>0.14842000511827322</v>
      </c>
      <c r="C25">
        <v>0.13983649632152484</v>
      </c>
      <c r="E25">
        <v>0.13967040635974798</v>
      </c>
    </row>
    <row r="26" spans="1:15" x14ac:dyDescent="0.3">
      <c r="A26">
        <v>0.26236426446749106</v>
      </c>
      <c r="C26">
        <v>0.24077868758824575</v>
      </c>
      <c r="E26">
        <v>0.24061250639969428</v>
      </c>
    </row>
    <row r="27" spans="1:15" x14ac:dyDescent="0.3">
      <c r="A27">
        <v>0.37156355643248301</v>
      </c>
      <c r="C27">
        <v>0.38623321601457805</v>
      </c>
      <c r="E27">
        <v>0.38606523602703025</v>
      </c>
      <c r="O27">
        <v>1</v>
      </c>
    </row>
    <row r="28" spans="1:15" x14ac:dyDescent="0.3">
      <c r="A28">
        <v>0.22314355131420976</v>
      </c>
      <c r="C28">
        <v>0.20025442515776343</v>
      </c>
      <c r="E28">
        <v>0.20008321558129227</v>
      </c>
    </row>
    <row r="29" spans="1:15" x14ac:dyDescent="0.3">
      <c r="A29">
        <v>0.23111172096338664</v>
      </c>
      <c r="C29">
        <v>0.25978195100928347</v>
      </c>
      <c r="E29">
        <v>0.25960871768610011</v>
      </c>
    </row>
    <row r="30" spans="1:15" x14ac:dyDescent="0.3">
      <c r="A30">
        <v>0.32208349916911322</v>
      </c>
      <c r="C30">
        <v>0.34002611892465445</v>
      </c>
      <c r="E30">
        <v>0.33985128242736656</v>
      </c>
    </row>
    <row r="31" spans="1:15" x14ac:dyDescent="0.3">
      <c r="A31">
        <v>0.62057648772510998</v>
      </c>
      <c r="C31">
        <v>0.59416875477506559</v>
      </c>
      <c r="E31">
        <v>0.59399275082018366</v>
      </c>
    </row>
    <row r="32" spans="1:15" x14ac:dyDescent="0.3">
      <c r="A32">
        <v>0.44468582126144574</v>
      </c>
      <c r="C32">
        <v>0.41652606685077437</v>
      </c>
      <c r="E32">
        <v>0.41634815686258581</v>
      </c>
    </row>
    <row r="33" spans="1:9" x14ac:dyDescent="0.3">
      <c r="A33">
        <v>0.42526773540434409</v>
      </c>
      <c r="C33">
        <v>0.434436264186706</v>
      </c>
      <c r="E33">
        <v>0.43425682431901907</v>
      </c>
    </row>
    <row r="34" spans="1:9" x14ac:dyDescent="0.3">
      <c r="A34">
        <v>0.46373401623214022</v>
      </c>
      <c r="C34">
        <v>0.48767335173473492</v>
      </c>
      <c r="E34">
        <v>0.48749219188848092</v>
      </c>
      <c r="I34">
        <v>1</v>
      </c>
    </row>
    <row r="35" spans="1:9" x14ac:dyDescent="0.3">
      <c r="A35">
        <v>0.60431596685332956</v>
      </c>
      <c r="C35">
        <v>0.64674609825830798</v>
      </c>
      <c r="E35">
        <v>0.64656331099246844</v>
      </c>
    </row>
    <row r="36" spans="1:9" x14ac:dyDescent="0.3">
      <c r="A36">
        <v>0.62057648772510998</v>
      </c>
      <c r="C36">
        <v>0.58898506658293626</v>
      </c>
      <c r="E36">
        <v>0.58880143155243603</v>
      </c>
    </row>
    <row r="37" spans="1:9" x14ac:dyDescent="0.3">
      <c r="A37">
        <v>0.42526773540434409</v>
      </c>
      <c r="C37">
        <v>0.46207884380992442</v>
      </c>
      <c r="E37">
        <v>0.46189524451514052</v>
      </c>
    </row>
    <row r="38" spans="1:9" x14ac:dyDescent="0.3">
      <c r="A38">
        <v>0.72754860727727766</v>
      </c>
      <c r="C38">
        <v>0.68986574799420741</v>
      </c>
      <c r="E38">
        <v>0.68968306207856345</v>
      </c>
    </row>
    <row r="39" spans="1:9" x14ac:dyDescent="0.3">
      <c r="A39">
        <v>0.85015092936961001</v>
      </c>
      <c r="C39">
        <v>0.84376024047185827</v>
      </c>
      <c r="E39">
        <v>0.84357803527555919</v>
      </c>
    </row>
    <row r="40" spans="1:9" x14ac:dyDescent="0.3">
      <c r="A40">
        <v>0.81093021621632877</v>
      </c>
      <c r="C40">
        <v>0.79389039861790744</v>
      </c>
      <c r="E40">
        <v>0.79370782432425513</v>
      </c>
    </row>
    <row r="41" spans="1:9" x14ac:dyDescent="0.3">
      <c r="A41">
        <v>0.77010822169607374</v>
      </c>
      <c r="C41">
        <v>0.74457062409873687</v>
      </c>
      <c r="E41">
        <v>0.74438756864136946</v>
      </c>
    </row>
    <row r="42" spans="1:9" x14ac:dyDescent="0.3">
      <c r="A42">
        <v>0.88789125735245711</v>
      </c>
      <c r="C42">
        <v>0.89222675032140875</v>
      </c>
      <c r="E42">
        <v>0.89204227810940617</v>
      </c>
    </row>
    <row r="43" spans="1:9" x14ac:dyDescent="0.3">
      <c r="A43">
        <v>0.99325177301028345</v>
      </c>
      <c r="C43">
        <v>1.009528999023688</v>
      </c>
      <c r="E43">
        <v>1.0093427682139868</v>
      </c>
    </row>
    <row r="44" spans="1:9" x14ac:dyDescent="0.3">
      <c r="A44">
        <v>0.81093021621632877</v>
      </c>
      <c r="C44">
        <v>0.85550851543427608</v>
      </c>
      <c r="E44">
        <v>0.85532040629144845</v>
      </c>
    </row>
    <row r="45" spans="1:9" x14ac:dyDescent="0.3">
      <c r="A45">
        <v>1.0260415958332743</v>
      </c>
      <c r="C45">
        <v>0.9775074454039312</v>
      </c>
      <c r="E45">
        <v>0.97731868433153624</v>
      </c>
    </row>
    <row r="46" spans="1:9" x14ac:dyDescent="0.3">
      <c r="A46">
        <v>1.2296405510745139</v>
      </c>
      <c r="C46">
        <v>1.1793507779079722</v>
      </c>
      <c r="E46">
        <v>1.1791613800184506</v>
      </c>
    </row>
    <row r="47" spans="1:9" x14ac:dyDescent="0.3">
      <c r="A47">
        <v>1.3056264580524357</v>
      </c>
      <c r="C47">
        <v>1.2858600119053378</v>
      </c>
      <c r="E47">
        <v>1.2856690669019826</v>
      </c>
    </row>
    <row r="48" spans="1:9" x14ac:dyDescent="0.3">
      <c r="A48">
        <v>1.2809338454620642</v>
      </c>
      <c r="C48">
        <v>1.2451500359106429</v>
      </c>
      <c r="E48">
        <v>1.2449562621811068</v>
      </c>
    </row>
    <row r="49" spans="1:5" x14ac:dyDescent="0.3">
      <c r="A49">
        <v>1.2809338454620642</v>
      </c>
      <c r="C49">
        <v>1.2803421964038511</v>
      </c>
      <c r="E49">
        <v>1.280143965355806</v>
      </c>
    </row>
    <row r="50" spans="1:5" x14ac:dyDescent="0.3">
      <c r="A50">
        <v>1.4632554022560189</v>
      </c>
      <c r="C50">
        <v>1.4580980149120368</v>
      </c>
      <c r="E50">
        <v>1.4578947786348122</v>
      </c>
    </row>
    <row r="51" spans="1:5" x14ac:dyDescent="0.3">
      <c r="A51">
        <v>1.4632554022560189</v>
      </c>
      <c r="C51">
        <v>1.4855312148941</v>
      </c>
      <c r="E51">
        <v>1.4853230132454394</v>
      </c>
    </row>
    <row r="52" spans="1:5" x14ac:dyDescent="0.3">
      <c r="A52">
        <v>1.3987168811184478</v>
      </c>
      <c r="C52">
        <v>1.4125721920195644</v>
      </c>
      <c r="E52">
        <v>1.4123594618955546</v>
      </c>
    </row>
    <row r="53" spans="1:5" x14ac:dyDescent="0.3">
      <c r="A53">
        <v>1.5810384379124025</v>
      </c>
      <c r="C53">
        <v>1.5494260029761711</v>
      </c>
      <c r="E53">
        <v>1.5492094640218843</v>
      </c>
    </row>
    <row r="54" spans="1:5" x14ac:dyDescent="0.3">
      <c r="A54">
        <v>1.6174060820832772</v>
      </c>
      <c r="C54">
        <v>1.631952731445701</v>
      </c>
      <c r="E54">
        <v>1.6317324895379706</v>
      </c>
    </row>
    <row r="55" spans="1:5" x14ac:dyDescent="0.3">
      <c r="A55">
        <v>1.6174060820832772</v>
      </c>
      <c r="C55">
        <v>1.640991897881078</v>
      </c>
      <c r="E55">
        <v>1.6407685105034215</v>
      </c>
    </row>
    <row r="56" spans="1:5" x14ac:dyDescent="0.3">
      <c r="A56">
        <v>1.4838746894587547</v>
      </c>
      <c r="C56">
        <v>1.5209086016813378</v>
      </c>
      <c r="E56">
        <v>1.5206826678845882</v>
      </c>
    </row>
    <row r="57" spans="1:5" x14ac:dyDescent="0.3">
      <c r="A57">
        <v>1.7191887763932197</v>
      </c>
      <c r="C57">
        <v>1.7091890999259756</v>
      </c>
      <c r="E57">
        <v>1.7089616760119823</v>
      </c>
    </row>
    <row r="58" spans="1:5" x14ac:dyDescent="0.3">
      <c r="A58">
        <v>1.766441661243765</v>
      </c>
      <c r="C58">
        <v>1.7706900892161794</v>
      </c>
      <c r="E58">
        <v>1.7704621145264596</v>
      </c>
    </row>
    <row r="59" spans="1:5" x14ac:dyDescent="0.3">
      <c r="A59">
        <v>1.8825138324965192</v>
      </c>
      <c r="C59">
        <v>1.8606623038619869</v>
      </c>
      <c r="E59">
        <v>1.8604344553574268</v>
      </c>
    </row>
    <row r="60" spans="1:5" x14ac:dyDescent="0.3">
      <c r="A60">
        <v>1.6695918352538475</v>
      </c>
      <c r="C60">
        <v>1.6888985766077578</v>
      </c>
      <c r="E60">
        <v>1.6886706110578407</v>
      </c>
    </row>
    <row r="61" spans="1:5" x14ac:dyDescent="0.3">
      <c r="A61">
        <v>1.7967470107390942</v>
      </c>
      <c r="C61">
        <v>1.8253088564018276</v>
      </c>
      <c r="E61">
        <v>1.8250806141179268</v>
      </c>
    </row>
    <row r="62" spans="1:5" x14ac:dyDescent="0.3">
      <c r="A62">
        <v>1.8547342683894434</v>
      </c>
      <c r="C62">
        <v>1.8767567649187944</v>
      </c>
      <c r="E62">
        <v>1.8765289940336132</v>
      </c>
    </row>
    <row r="63" spans="1:5" x14ac:dyDescent="0.3">
      <c r="A63">
        <v>1.9358598132018119</v>
      </c>
      <c r="C63">
        <v>1.9469844053199206</v>
      </c>
      <c r="E63">
        <v>1.9467580443243673</v>
      </c>
    </row>
    <row r="64" spans="1:5" x14ac:dyDescent="0.3">
      <c r="A64">
        <v>1.766441661243765</v>
      </c>
      <c r="C64">
        <v>1.7765221338290453</v>
      </c>
      <c r="E64">
        <v>1.7762980922056171</v>
      </c>
    </row>
    <row r="65" spans="1:5" x14ac:dyDescent="0.3">
      <c r="A65">
        <v>1.9358598132018119</v>
      </c>
      <c r="C65">
        <v>1.9394989082892595</v>
      </c>
      <c r="E65">
        <v>1.9392775887005789</v>
      </c>
    </row>
    <row r="66" spans="1:5" x14ac:dyDescent="0.3">
      <c r="A66">
        <v>2.046401687601636</v>
      </c>
      <c r="C66">
        <v>2.0371721699308396</v>
      </c>
      <c r="E66">
        <v>2.0369537801334681</v>
      </c>
    </row>
    <row r="67" spans="1:5" x14ac:dyDescent="0.3">
      <c r="A67">
        <v>2.0579625100027119</v>
      </c>
      <c r="C67">
        <v>2.0698987685903028</v>
      </c>
      <c r="E67">
        <v>2.0696831324742049</v>
      </c>
    </row>
    <row r="68" spans="1:5" x14ac:dyDescent="0.3">
      <c r="A68">
        <v>1.8115620965242347</v>
      </c>
      <c r="C68">
        <v>1.843431909993702</v>
      </c>
      <c r="E68">
        <v>1.8432191067452965</v>
      </c>
    </row>
    <row r="69" spans="1:5" x14ac:dyDescent="0.3">
      <c r="A69">
        <v>2.046401687601636</v>
      </c>
      <c r="C69">
        <v>2.0496195015883818</v>
      </c>
      <c r="E69">
        <v>2.0494099272190054</v>
      </c>
    </row>
    <row r="70" spans="1:5" x14ac:dyDescent="0.3">
      <c r="A70">
        <v>2.187174241482718</v>
      </c>
      <c r="C70">
        <v>2.173937225827447</v>
      </c>
      <c r="E70">
        <v>2.1737311480446699</v>
      </c>
    </row>
    <row r="71" spans="1:5" x14ac:dyDescent="0.3">
      <c r="A71">
        <v>2.1138429683971682</v>
      </c>
      <c r="C71">
        <v>2.1355653624154058</v>
      </c>
      <c r="E71">
        <v>2.1353627342775225</v>
      </c>
    </row>
    <row r="72" spans="1:5" x14ac:dyDescent="0.3">
      <c r="A72">
        <v>1.922787731634459</v>
      </c>
      <c r="C72">
        <v>1.936068535876609</v>
      </c>
      <c r="E72">
        <v>1.9358695658384182</v>
      </c>
    </row>
    <row r="73" spans="1:5" x14ac:dyDescent="0.3">
      <c r="A73">
        <v>2.2554934854601951</v>
      </c>
      <c r="C73">
        <v>2.2303474203046694</v>
      </c>
      <c r="E73">
        <v>2.2301520986501298</v>
      </c>
    </row>
    <row r="74" spans="1:5" x14ac:dyDescent="0.3">
      <c r="A74">
        <v>2.3282528397426234</v>
      </c>
      <c r="C74">
        <v>2.3206482997147004</v>
      </c>
      <c r="E74">
        <v>2.3204561398416317</v>
      </c>
    </row>
    <row r="75" spans="1:5" x14ac:dyDescent="0.3">
      <c r="A75">
        <v>2.2554934854601951</v>
      </c>
      <c r="C75">
        <v>2.265195054655051</v>
      </c>
      <c r="E75">
        <v>2.2650057121891822</v>
      </c>
    </row>
    <row r="76" spans="1:5" x14ac:dyDescent="0.3">
      <c r="A76">
        <v>2.166765369851511</v>
      </c>
      <c r="C76">
        <v>2.1471700539994507</v>
      </c>
      <c r="E76">
        <v>2.1469832111943665</v>
      </c>
    </row>
    <row r="77" spans="1:5" x14ac:dyDescent="0.3">
      <c r="A77">
        <v>2.4748563139344988</v>
      </c>
      <c r="B77">
        <f t="array" ref="B77:B88">FORECASTING(A5:A76,-4)</f>
        <v>2.3895923939018973</v>
      </c>
      <c r="D77">
        <f t="array" ref="D77:D88">FORECASTING(A5:A76,-4,1)</f>
        <v>2.3889214500332367</v>
      </c>
    </row>
    <row r="78" spans="1:5" x14ac:dyDescent="0.3">
      <c r="A78">
        <v>2.4898941912990393</v>
      </c>
      <c r="B78">
        <v>2.4745158029875651</v>
      </c>
      <c r="D78">
        <v>2.4736476000885377</v>
      </c>
    </row>
    <row r="79" spans="1:5" x14ac:dyDescent="0.3">
      <c r="A79">
        <v>2.4973291697865574</v>
      </c>
      <c r="B79">
        <v>2.4296650486638196</v>
      </c>
      <c r="D79">
        <v>2.4285790521929296</v>
      </c>
    </row>
    <row r="80" spans="1:5" x14ac:dyDescent="0.3">
      <c r="A80">
        <v>2.187174241482718</v>
      </c>
      <c r="B80">
        <v>2.2948222198492738</v>
      </c>
      <c r="D80">
        <v>2.2934973291187468</v>
      </c>
    </row>
    <row r="81" spans="1:4" x14ac:dyDescent="0.3">
      <c r="A81">
        <v>2.6419103985976649</v>
      </c>
      <c r="B81">
        <v>2.5372445597517199</v>
      </c>
      <c r="D81">
        <v>2.5353545780832212</v>
      </c>
    </row>
    <row r="82" spans="1:4" x14ac:dyDescent="0.3">
      <c r="A82">
        <v>2.5618676909241289</v>
      </c>
      <c r="B82">
        <v>2.6221679688373882</v>
      </c>
      <c r="D82">
        <v>2.6199997830335979</v>
      </c>
    </row>
    <row r="83" spans="1:4" x14ac:dyDescent="0.3">
      <c r="A83">
        <v>2.6979998652487085</v>
      </c>
      <c r="B83">
        <v>2.5773172145136427</v>
      </c>
      <c r="D83">
        <v>2.5748503347777905</v>
      </c>
    </row>
    <row r="84" spans="1:4" x14ac:dyDescent="0.3">
      <c r="A84">
        <v>2.3015845926604621</v>
      </c>
      <c r="B84">
        <v>2.4424743856990965</v>
      </c>
      <c r="D84">
        <v>2.4396877560633996</v>
      </c>
    </row>
    <row r="85" spans="1:4" x14ac:dyDescent="0.3">
      <c r="A85">
        <v>2.7850112422383382</v>
      </c>
      <c r="B85">
        <v>2.684896725601543</v>
      </c>
      <c r="D85">
        <v>2.681464194082936</v>
      </c>
    </row>
    <row r="86" spans="1:4" x14ac:dyDescent="0.3">
      <c r="A86">
        <v>2.6858045921548905</v>
      </c>
      <c r="B86">
        <v>2.7698201346872113</v>
      </c>
      <c r="D86">
        <v>2.766028632758939</v>
      </c>
    </row>
    <row r="87" spans="1:4" x14ac:dyDescent="0.3">
      <c r="A87">
        <v>2.7738379416402132</v>
      </c>
      <c r="B87">
        <v>2.7249693803634658</v>
      </c>
      <c r="D87">
        <v>2.7207984628746291</v>
      </c>
    </row>
    <row r="88" spans="1:4" x14ac:dyDescent="0.3">
      <c r="A88">
        <v>2.4518667957098002</v>
      </c>
      <c r="B88">
        <v>2.5901265515489196</v>
      </c>
      <c r="D88">
        <v>2.5855552071529271</v>
      </c>
    </row>
  </sheetData>
  <hyperlinks>
    <hyperlink ref="C1" r:id="rId1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K19"/>
  <sheetViews>
    <sheetView workbookViewId="0">
      <selection activeCell="G9" sqref="G9"/>
    </sheetView>
  </sheetViews>
  <sheetFormatPr defaultRowHeight="14.4" x14ac:dyDescent="0.3"/>
  <cols>
    <col min="8" max="8" width="10.44140625" customWidth="1"/>
    <col min="9" max="9" width="11" customWidth="1"/>
  </cols>
  <sheetData>
    <row r="3" spans="1:11" ht="25.8" customHeight="1" x14ac:dyDescent="0.45">
      <c r="A3" s="6" t="s">
        <v>12</v>
      </c>
      <c r="B3" s="6"/>
      <c r="C3" s="6"/>
      <c r="D3" s="6"/>
      <c r="E3" s="6"/>
      <c r="F3" s="6"/>
      <c r="G3" s="6"/>
      <c r="J3" s="3" t="s">
        <v>13</v>
      </c>
    </row>
    <row r="4" spans="1:11" ht="25.8" customHeight="1" x14ac:dyDescent="0.3"/>
    <row r="5" spans="1:11" ht="25.8" customHeight="1" x14ac:dyDescent="0.3"/>
    <row r="6" spans="1:11" ht="25.8" customHeight="1" x14ac:dyDescent="0.3">
      <c r="J6" s="4" t="s">
        <v>14</v>
      </c>
    </row>
    <row r="7" spans="1:11" ht="25.8" customHeight="1" x14ac:dyDescent="0.3">
      <c r="K7" s="4" t="s">
        <v>15</v>
      </c>
    </row>
    <row r="8" spans="1:11" ht="24" customHeight="1" x14ac:dyDescent="0.3">
      <c r="K8" s="4" t="s">
        <v>16</v>
      </c>
    </row>
    <row r="9" spans="1:11" ht="24" customHeight="1" x14ac:dyDescent="0.3">
      <c r="K9" s="4" t="s">
        <v>17</v>
      </c>
    </row>
    <row r="10" spans="1:11" ht="24" customHeight="1" x14ac:dyDescent="0.3">
      <c r="K10" s="4" t="s">
        <v>18</v>
      </c>
    </row>
    <row r="12" spans="1:11" ht="18" x14ac:dyDescent="0.3">
      <c r="J12" s="4" t="s">
        <v>19</v>
      </c>
    </row>
    <row r="13" spans="1:11" ht="18" x14ac:dyDescent="0.3">
      <c r="K13" s="4"/>
    </row>
    <row r="14" spans="1:11" ht="18" x14ac:dyDescent="0.3">
      <c r="J14" s="4" t="s">
        <v>20</v>
      </c>
    </row>
    <row r="15" spans="1:11" ht="18" x14ac:dyDescent="0.3">
      <c r="K15" s="4" t="s">
        <v>21</v>
      </c>
    </row>
    <row r="16" spans="1:11" ht="18" x14ac:dyDescent="0.3">
      <c r="K16" s="5" t="s">
        <v>22</v>
      </c>
    </row>
    <row r="17" spans="11:11" ht="18" x14ac:dyDescent="0.3">
      <c r="K17" s="4" t="s">
        <v>23</v>
      </c>
    </row>
    <row r="18" spans="11:11" ht="18" x14ac:dyDescent="0.3">
      <c r="K18" s="4" t="s">
        <v>24</v>
      </c>
    </row>
    <row r="19" spans="11:11" ht="18" x14ac:dyDescent="0.3">
      <c r="K19" s="5" t="s">
        <v>25</v>
      </c>
    </row>
  </sheetData>
  <mergeCells count="1">
    <mergeCell ref="A3:G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Simple ES</vt:lpstr>
      <vt:lpstr>Browns ES</vt:lpstr>
      <vt:lpstr>Double ES</vt:lpstr>
      <vt:lpstr>MTriple ES</vt:lpstr>
      <vt:lpstr>ATriple ES</vt:lpstr>
      <vt:lpstr>How2Use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2014-10-01T21:04:23Z</dcterms:created>
  <dcterms:modified xsi:type="dcterms:W3CDTF">2014-12-29T06:07:18Z</dcterms:modified>
</cp:coreProperties>
</file>